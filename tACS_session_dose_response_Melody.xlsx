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lody Marie\Documents\Practical_Project\Data Extraction\"/>
    </mc:Choice>
  </mc:AlternateContent>
  <xr:revisionPtr revIDLastSave="0" documentId="13_ncr:1_{7A415C0A-0F9E-4CE9-87B8-FBDDD43BE258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included_studies" sheetId="1" r:id="rId1"/>
    <sheet name="disorder_overview" sheetId="2" r:id="rId2"/>
    <sheet name="cog_outcomes" sheetId="8" r:id="rId3"/>
    <sheet name="tACS MoCA" sheetId="9" r:id="rId4"/>
    <sheet name="tACS RAVLT" sheetId="10" r:id="rId5"/>
    <sheet name="tACS ADAS-Cog" sheetId="11" r:id="rId6"/>
    <sheet name="Study Table" sheetId="12" r:id="rId7"/>
    <sheet name="MoCA" sheetId="4" r:id="rId8"/>
    <sheet name="RAVLT" sheetId="5" r:id="rId9"/>
  </sheets>
  <definedNames>
    <definedName name="_xlnm._FilterDatabase" localSheetId="0" hidden="1">included_studies!$A$1:$CJ$192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EuGKbU6x3iqZeD48F2kKmA3XzPPn5Z0+3JoP800V/tk="/>
    </ext>
  </extLst>
</workbook>
</file>

<file path=xl/calcChain.xml><?xml version="1.0" encoding="utf-8"?>
<calcChain xmlns="http://schemas.openxmlformats.org/spreadsheetml/2006/main">
  <c r="BD3" i="8" l="1"/>
  <c r="BD4" i="8"/>
  <c r="BD5" i="8"/>
  <c r="BD6" i="8"/>
  <c r="BD7" i="8"/>
  <c r="BD8" i="8"/>
  <c r="BD9" i="8"/>
  <c r="BD10" i="8"/>
  <c r="BD11" i="8"/>
  <c r="BD12" i="8"/>
  <c r="BD13" i="8"/>
  <c r="BD14" i="8"/>
  <c r="BD15" i="8"/>
  <c r="BD16" i="8"/>
  <c r="BD17" i="8"/>
  <c r="BD18" i="8"/>
  <c r="BD19" i="8"/>
  <c r="BD20" i="8"/>
  <c r="BD21" i="8"/>
  <c r="BD22" i="8"/>
  <c r="BD23" i="8"/>
  <c r="BD24" i="8"/>
  <c r="BD2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I25" i="8"/>
  <c r="F17" i="2"/>
  <c r="F16" i="2"/>
  <c r="F15" i="2"/>
  <c r="F14" i="2"/>
  <c r="F13" i="2"/>
  <c r="F12" i="2"/>
  <c r="B12" i="2"/>
  <c r="F11" i="2"/>
  <c r="B11" i="2"/>
  <c r="F10" i="2"/>
  <c r="D10" i="2"/>
  <c r="B10" i="2"/>
  <c r="F9" i="2"/>
  <c r="D9" i="2"/>
  <c r="B9" i="2"/>
  <c r="F8" i="2"/>
  <c r="D8" i="2"/>
  <c r="B8" i="2"/>
  <c r="F7" i="2"/>
  <c r="D7" i="2"/>
  <c r="B7" i="2"/>
  <c r="F6" i="2"/>
  <c r="D6" i="2"/>
  <c r="B6" i="2"/>
  <c r="F5" i="2"/>
  <c r="D5" i="2"/>
  <c r="B5" i="2"/>
  <c r="F4" i="2"/>
  <c r="D4" i="2"/>
  <c r="B4" i="2"/>
  <c r="F3" i="2"/>
  <c r="D3" i="2"/>
  <c r="B3" i="2"/>
  <c r="F2" i="2"/>
  <c r="D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Melody Marie</author>
    <author>tc={733ED662-F1F6-430B-AA8F-E638D61BA9B1}</author>
    <author>tc={8E122302-83A0-461A-A2C0-8667EE0D8A72}</author>
    <author>tc={04028790-AECF-46F1-AD0E-E2664E90DF4D}</author>
    <author>tc={35347E64-0BAC-439B-BA08-BCE73D6B42DF}</author>
    <author>tc={3CD67576-AEE5-45A8-86ED-DC2EC1974C70}</author>
    <author>tc={44936AB8-9C72-4A59-A751-7E338304ACD1}</author>
    <author>tc={EC8B290A-5D4C-4EFF-8386-30722F91B13C}</author>
    <author>tc={7A1A9EEC-7D60-40E8-88FC-69E53470CD5F}</author>
    <author>tc={42B0FA1B-2F1E-49C5-B37C-FD37B6C914DF}</author>
  </authors>
  <commentList>
    <comment ref="V3" authorId="0" shapeId="0" xr:uid="{101FF02E-0F07-4588-8194-11B769E4334E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median age</t>
        </r>
      </text>
    </comment>
    <comment ref="X3" authorId="0" shapeId="0" xr:uid="{88879C01-D3B3-4FE8-B9B2-81EB0ABBC067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median age</t>
        </r>
      </text>
    </comment>
    <comment ref="BN3" authorId="0" shapeId="0" xr:uid="{BBB96FDD-D187-4E9B-889E-0765CA6DE147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median score</t>
        </r>
      </text>
    </comment>
    <comment ref="BP3" authorId="0" shapeId="0" xr:uid="{88B5E7A8-B8E0-4609-A027-FD021CCCD266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median score</t>
        </r>
      </text>
    </comment>
    <comment ref="AT17" authorId="0" shapeId="0" xr:uid="{31389D30-1030-4F22-82A2-68F1B3C75896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double check</t>
        </r>
      </text>
    </comment>
    <comment ref="BG26" authorId="1" shapeId="0" xr:uid="{733ED662-F1F6-430B-AA8F-E638D61BA9B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Trail Making Test B minus A score</t>
      </text>
    </comment>
    <comment ref="BG58" authorId="2" shapeId="0" xr:uid="{8E122302-83A0-461A-A2C0-8667EE0D8A72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Indirect biomarker of cholinergic transmission. SAI is measured with TMS but the effects are from tACS</t>
      </text>
    </comment>
    <comment ref="BG63" authorId="3" shapeId="0" xr:uid="{04028790-AECF-46F1-AD0E-E2664E90DF4D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Supplementary Study 1, testing for the effects of Tacs on other cognitive domains (n=10)
Reply:
    Mark these studies as Benussi A. Benussi B, etc)</t>
      </text>
    </comment>
    <comment ref="BG69" authorId="4" shapeId="0" xr:uid="{35347E64-0BAC-439B-BA08-BCE73D6B42DF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Supplementary Study 2 (tACS performed over DLPFC pre-post stimulation)</t>
      </text>
    </comment>
    <comment ref="BG74" authorId="5" shapeId="0" xr:uid="{3CD67576-AEE5-45A8-86ED-DC2EC1974C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Proteins that build up between brain cells for AD patients</t>
      </text>
    </comment>
    <comment ref="B85" authorId="6" shapeId="0" xr:uid="{44936AB8-9C72-4A59-A751-7E338304ACD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study was only done on 2 dementia patients….do we still include?</t>
      </text>
    </comment>
    <comment ref="BG91" authorId="7" shapeId="0" xr:uid="{EC8B290A-5D4C-4EFF-8386-30722F91B13C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Indirect biomarker of cholinergic transmission. SAI is measured with TMS but the effects are from tACS</t>
      </text>
    </comment>
    <comment ref="C102" authorId="8" shapeId="0" xr:uid="{7A1A9EEC-7D60-40E8-88FC-69E53470CD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data reported </t>
      </text>
    </comment>
    <comment ref="BG164" authorId="9" shapeId="0" xr:uid="{42B0FA1B-2F1E-49C5-B37C-FD37B6C914DF}">
      <text>
        <t>[Threaded comment]
Your version of Excel allows you to read this threaded comment; however, any edits to it will get removed if the file is opened in a newer version of Excel. Learn more: https://go.microsoft.com/fwlink/?linkid=870924
Comment:
    MT = multi-tasking</t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NTLg71zR3DUUy2NgBv2RmYD0ie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Melody Marie</author>
    <author>tc={C6E3D737-A7DE-45C4-94F3-F825E18FEB17}</author>
    <author>tc={56974C17-BC46-4052-A19C-D65537B913CA}</author>
  </authors>
  <commentList>
    <comment ref="BA1" authorId="0" shapeId="0" xr:uid="{C1067C0F-BCAD-42F9-B063-B267186D234E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is this total intensity or total intensity for each electrode?</t>
        </r>
      </text>
    </comment>
    <comment ref="AR3" authorId="0" shapeId="0" xr:uid="{D2D6647A-A1B0-4373-88A5-B08CBFBA2EC3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double check</t>
        </r>
      </text>
    </comment>
    <comment ref="A4" authorId="1" shapeId="0" xr:uid="{C6E3D737-A7DE-45C4-94F3-F825E18FEB1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sham, will not include in meta-analysis</t>
      </text>
    </comment>
    <comment ref="H4" authorId="0" shapeId="0" xr:uid="{B8FE176A-EC94-4E59-A83C-7111B50FB81E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unilaterak temporo-frontal tACS (2 weeks) + bitemporal tACS (2 weeks), bitemporal tACS (4 weeks)</t>
        </r>
      </text>
    </comment>
    <comment ref="BC4" authorId="0" shapeId="0" xr:uid="{22F91CCE-1589-4E07-AFE5-44B25486F432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unilateral temporo-frontal tACS, bitemporal tACS (2 weeks). Bitemporal tACS (4 weeks)</t>
        </r>
      </text>
    </comment>
    <comment ref="CH4" authorId="0" shapeId="0" xr:uid="{F2AC81E8-6421-4C1E-9A0B-6F5711C7E8D2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Cohen's D</t>
        </r>
      </text>
    </comment>
    <comment ref="A5" authorId="2" shapeId="0" xr:uid="{56974C17-BC46-4052-A19C-D65537B913CA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not include in meta-analysis (no SDs reported), maybe in narrative synthesis</t>
      </text>
    </comment>
    <comment ref="A6" authorId="0" shapeId="0" xr:uid="{2521C915-5A5E-4DF5-A557-52FD0B9522F2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this study also had HC but did not include because its taken from external open source datasets.</t>
        </r>
      </text>
    </comment>
    <comment ref="C6" authorId="0" shapeId="0" xr:uid="{A65C392C-EB45-4664-95DA-E14B493422D7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ask for MoCA data for tACS (post-intervention),
email sent 21/01</t>
        </r>
      </text>
    </comment>
    <comment ref="A7" authorId="0" shapeId="0" xr:uid="{93B28352-BC3F-497B-996C-1F5E05B32AC7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mail sent on 26/1
UPDATE: no response
wont include study because only median is reported (cannot calculate the mean or SD)</t>
        </r>
      </text>
    </comment>
    <comment ref="L7" authorId="0" shapeId="0" xr:uid="{2E906E2B-6390-4194-AB97-D554318E0C6F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Study used HC for brain mapping (not relevant for MoCA outcomes)</t>
        </r>
      </text>
    </comment>
    <comment ref="AF7" authorId="0" shapeId="0" xr:uid="{586513A6-156B-42BA-84E5-BA27B1887633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should I list all the drug intakes?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Melody Marie</author>
    <author>tc={E4D24F65-9085-497B-B2AB-A6DF333EA854}</author>
    <author>tc={8138E0C4-D5C0-4DA9-89CA-5A49FC1148C1}</author>
    <author>tc={3826637B-75C6-486A-8CEC-74F5B7DD3103}</author>
  </authors>
  <commentList>
    <comment ref="AN1" authorId="0" shapeId="0" xr:uid="{F5431315-86EF-4BCA-9754-DA60A0FD44C8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calculate it in cm2</t>
        </r>
      </text>
    </comment>
    <comment ref="BA1" authorId="0" shapeId="0" xr:uid="{0688AECB-B822-47BA-90CF-B23C2304E483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is this total intensity or total intensity for each electrode?</t>
        </r>
      </text>
    </comment>
    <comment ref="AR2" authorId="0" shapeId="0" xr:uid="{915A6FDF-BE95-4364-9448-0E9660DA9210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double check</t>
        </r>
      </text>
    </comment>
    <comment ref="BY2" authorId="0" shapeId="0" xr:uid="{8EB9F19A-5ECF-46E4-9265-B10633FA6A93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3 months</t>
        </r>
      </text>
    </comment>
    <comment ref="BE7" authorId="0" shapeId="0" xr:uid="{319DE380-3C75-4AF9-A404-8B04844FBC3B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missing this</t>
        </r>
      </text>
    </comment>
    <comment ref="AF8" authorId="0" shapeId="0" xr:uid="{09E182C3-E45F-495D-98A7-0AAE820EF855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4 participants were on donepezil 10 mg QD, 2 participants
were on zolpidem 10 mg QD, 1 patient was on trazodone 25 mg QD,
1 patient was on lorazepam 2.5 mg QD</t>
        </r>
      </text>
    </comment>
    <comment ref="BE10" authorId="0" shapeId="0" xr:uid="{ADBBFD41-BA28-4F54-96ED-E62D5ACEC50A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missing this</t>
        </r>
      </text>
    </comment>
    <comment ref="A11" authorId="1" shapeId="0" xr:uid="{E4D24F65-9085-497B-B2AB-A6DF333EA85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impute scores because no baseline scores (only change scores)</t>
      </text>
    </comment>
    <comment ref="C14" authorId="0" shapeId="0" xr:uid="{F1F4FF84-F7DF-460A-9FDA-BE99C4653441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request for information</t>
        </r>
      </text>
    </comment>
    <comment ref="F15" authorId="2" shapeId="0" xr:uid="{8138E0C4-D5C0-4DA9-89CA-5A49FC1148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Sham study but treating it like parallel study because we are only looking at the first treatment arm since in the second arm, both groups receive intervention. </t>
      </text>
    </comment>
    <comment ref="AN15" authorId="3" shapeId="0" xr:uid="{3826637B-75C6-486A-8CEC-74F5B7DD31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are missing from paper, but looked at other papers with the same researchers and based it there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Melody Marie</author>
    <author>tc={FA371B0B-D8AB-4795-9669-9B4EB83C9C74}</author>
  </authors>
  <commentList>
    <comment ref="AN1" authorId="0" shapeId="0" xr:uid="{3C52FE12-5380-4CDB-A7D3-45E9FCAF0C60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calculate it in cm2</t>
        </r>
      </text>
    </comment>
    <comment ref="BA1" authorId="0" shapeId="0" xr:uid="{30DBF8C4-D3AD-4AB8-85A2-E89E8BED569E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is this total intensity or total intensity for each electrode?</t>
        </r>
      </text>
    </comment>
    <comment ref="AR2" authorId="0" shapeId="0" xr:uid="{E4B8EEB2-8AAF-4E2B-ABB6-9F5B2FA8A449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double check</t>
        </r>
      </text>
    </comment>
    <comment ref="AR5" authorId="0" shapeId="0" xr:uid="{FF165265-1CB6-440C-96BD-7C94863B9126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double check</t>
        </r>
      </text>
    </comment>
    <comment ref="AN7" authorId="1" shapeId="0" xr:uid="{FA371B0B-D8AB-4795-9669-9B4EB83C9C7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are missing from paper, but looked at other papers with the same researchers and based it there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Melody Marie</author>
  </authors>
  <commentList>
    <comment ref="A14" authorId="0" shapeId="0" xr:uid="{B8FD3167-5D14-4630-8D9C-8C9DEAFA42E5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double check values because there are 3 groups</t>
        </r>
      </text>
    </comment>
    <comment ref="J16" authorId="0" shapeId="0" xr:uid="{EB75F792-BE63-4A11-82C7-CD6C0699816A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only two participants with scores of 13 and 17</t>
        </r>
      </text>
    </comment>
    <comment ref="J17" authorId="0" shapeId="0" xr:uid="{0661EF22-5E83-48F8-B7B9-6907135E718E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29 and 21</t>
        </r>
      </text>
    </comment>
    <comment ref="A23" authorId="0" shapeId="0" xr:uid="{5D1C8B54-D63C-4334-A762-2CF001CC3F5E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use tool to get scores from graph</t>
        </r>
      </text>
    </comment>
    <comment ref="C23" authorId="0" shapeId="0" xr:uid="{48CB859F-C4B0-476F-BFC0-CF87497A6627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No Sham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Melody Marie</author>
  </authors>
  <commentList>
    <comment ref="A42" authorId="0" shapeId="0" xr:uid="{FBC721EC-25DF-43D5-9445-518F3038F214}">
      <text>
        <r>
          <rPr>
            <b/>
            <sz val="9"/>
            <color indexed="81"/>
            <rFont val="Tahoma"/>
            <family val="2"/>
          </rPr>
          <t>Melody Marie:</t>
        </r>
        <r>
          <rPr>
            <sz val="9"/>
            <color indexed="81"/>
            <rFont val="Tahoma"/>
            <family val="2"/>
          </rPr>
          <t xml:space="preserve">
Use plot tool</t>
        </r>
      </text>
    </comment>
  </commentList>
</comments>
</file>

<file path=xl/sharedStrings.xml><?xml version="1.0" encoding="utf-8"?>
<sst xmlns="http://schemas.openxmlformats.org/spreadsheetml/2006/main" count="3069" uniqueCount="883">
  <si>
    <t>Disorder</t>
  </si>
  <si>
    <t>Title</t>
  </si>
  <si>
    <t>Authors</t>
  </si>
  <si>
    <t>Year</t>
  </si>
  <si>
    <t>Study_ID</t>
  </si>
  <si>
    <t>Study_Design</t>
  </si>
  <si>
    <t>Blinding</t>
  </si>
  <si>
    <t>Intervention_group</t>
  </si>
  <si>
    <t>Control_group</t>
  </si>
  <si>
    <t>Sample_Size_PD_int</t>
  </si>
  <si>
    <t>Sample_Size_PD_con</t>
  </si>
  <si>
    <t>Sample_Size_HC</t>
  </si>
  <si>
    <t>N_Male_PD_int</t>
  </si>
  <si>
    <t>N_Female_PD_int</t>
  </si>
  <si>
    <t>N_Male_PD_con</t>
  </si>
  <si>
    <t>N_Female_PD_con</t>
  </si>
  <si>
    <t>N_Male_HC</t>
  </si>
  <si>
    <t>N_Female_HC</t>
  </si>
  <si>
    <t>Handedness_PD_int</t>
  </si>
  <si>
    <t>Handedness_PD_con</t>
  </si>
  <si>
    <t>Handedness_HC</t>
  </si>
  <si>
    <t>Age_mean_PD_int</t>
  </si>
  <si>
    <t>Age_SD_PD_int</t>
  </si>
  <si>
    <t>Age_mean_PD_con</t>
  </si>
  <si>
    <t>Age_SD_PD_con</t>
  </si>
  <si>
    <t>Age_mean_HC</t>
  </si>
  <si>
    <t>Age_SD_HC</t>
  </si>
  <si>
    <t>Disease_duration_months_mean_int</t>
  </si>
  <si>
    <t>Disease_duration_months_sd_int</t>
  </si>
  <si>
    <t>Disease_duration_months_mean_con</t>
  </si>
  <si>
    <t>Disease_duration_months_sd_con</t>
  </si>
  <si>
    <t>Drugs_intake_mg_mean_int</t>
  </si>
  <si>
    <t>Drugs_intake_mg_sd_int</t>
  </si>
  <si>
    <t>Drugs_intake_mg_mean_con</t>
  </si>
  <si>
    <t>Drugs_intake_mg_sd_con</t>
  </si>
  <si>
    <t>Global_Cognition_MoCA_int</t>
  </si>
  <si>
    <t>Global_Cognition_MoCA_con</t>
  </si>
  <si>
    <t>Physiotherapy_int</t>
  </si>
  <si>
    <t>Physiotherapy_con</t>
  </si>
  <si>
    <t>Psychotherapy_int</t>
  </si>
  <si>
    <t>Psychotherapy_con</t>
  </si>
  <si>
    <t>Electrode_size_cm2_stim</t>
  </si>
  <si>
    <t>Electrode_size_cm2_return</t>
  </si>
  <si>
    <t>Electrode_shape_stim</t>
  </si>
  <si>
    <t>Electrode_shape_return</t>
  </si>
  <si>
    <t>Electrode_material</t>
  </si>
  <si>
    <t>Loc_Stimulation_Electrode_int</t>
  </si>
  <si>
    <t>Loc_Stimulation_Electrode_con</t>
  </si>
  <si>
    <t>Loc_Return_Electrode_int</t>
  </si>
  <si>
    <t>Loc_Return_Electrode_con</t>
  </si>
  <si>
    <t>Frequency_Hz_int</t>
  </si>
  <si>
    <t>Frequency_Hz_con</t>
  </si>
  <si>
    <t>Ramping_up_sec</t>
  </si>
  <si>
    <t>Ramping_down_sec</t>
  </si>
  <si>
    <t>Intensity_pp_mA</t>
  </si>
  <si>
    <t>Duration_min</t>
  </si>
  <si>
    <t>N_Sessions</t>
  </si>
  <si>
    <t>Timepoints_of_measurement</t>
  </si>
  <si>
    <t>Outcome</t>
  </si>
  <si>
    <t>Outcome_category</t>
  </si>
  <si>
    <t>Direction_improvement</t>
  </si>
  <si>
    <t>on_off_med</t>
  </si>
  <si>
    <t>Online_Offline_stim</t>
  </si>
  <si>
    <t>Mean_pre_HC</t>
  </si>
  <si>
    <t>SD_pre_HC</t>
  </si>
  <si>
    <t>Mean_pre_int</t>
  </si>
  <si>
    <t>SD_pre_int</t>
  </si>
  <si>
    <t>Mean_pre_con</t>
  </si>
  <si>
    <t>SD_pre_con</t>
  </si>
  <si>
    <t>Mean_during_int</t>
  </si>
  <si>
    <t>SD_during_int</t>
  </si>
  <si>
    <t>Mean_during_con</t>
  </si>
  <si>
    <t>SD_during_con</t>
  </si>
  <si>
    <t>Mean_post_immediate_int</t>
  </si>
  <si>
    <t>SD_post_immediate_int</t>
  </si>
  <si>
    <t>Mean_post_immediate_con</t>
  </si>
  <si>
    <t>SD_post_immediate_con</t>
  </si>
  <si>
    <t>Mean_post_intermediate_int</t>
  </si>
  <si>
    <t>SD_post_intermediate_int</t>
  </si>
  <si>
    <t>Mean_post_intermediate_con</t>
  </si>
  <si>
    <t>SD_post_intermediate_con</t>
  </si>
  <si>
    <t>Mean_post_long_int</t>
  </si>
  <si>
    <t>SD_post_long_int</t>
  </si>
  <si>
    <t>Mean_post_long_con</t>
  </si>
  <si>
    <t>SD_post_long_con</t>
  </si>
  <si>
    <t>p_value</t>
  </si>
  <si>
    <t>Effect_Size</t>
  </si>
  <si>
    <t>Main_finding</t>
  </si>
  <si>
    <t>Schizophrenia</t>
  </si>
  <si>
    <t>Depression</t>
  </si>
  <si>
    <t>Insomnia</t>
  </si>
  <si>
    <t>ADHD</t>
  </si>
  <si>
    <t>Use Disorder</t>
  </si>
  <si>
    <t>Bipolar Disorder</t>
  </si>
  <si>
    <t>Anxiety</t>
  </si>
  <si>
    <t>Psychosis Spectrum Disorder</t>
  </si>
  <si>
    <t>Internalizing Psychopathologies</t>
  </si>
  <si>
    <t>Obsessive Compulsive Disorder</t>
  </si>
  <si>
    <t>Premenstrual Dysphoric Disorder</t>
  </si>
  <si>
    <t>AD</t>
  </si>
  <si>
    <t>Impact of 40 Hz Transcranial Alternating Current Stimulation on Cerebral Tau Burden in Patients with Alzheimer’s Disease: A Case Series</t>
  </si>
  <si>
    <t>Dhaynaut, M., Sprugnoli, G., Cappon, D., Macone, J., Sanchez, J. S., Normandin, M. D., Guehl, N. J., Koch, G., Paciorek, R., Connor, A., Press, D., Johnson, K., Pascual-Leone, A., El Fakhri, G., &amp; Santarnecchi, E.</t>
  </si>
  <si>
    <t>Modulation of Cortical and Hippocampal Functional MRI Connectivity Following Transcranial Alternating Current Stimulation in Mild Alzheimer Disease</t>
  </si>
  <si>
    <t>TRanscranial AlterNating current stimulation FOR patients with mild Alzheimer’s Disease (TRANSFORM-AD): a randomized controlled clinical trial</t>
  </si>
  <si>
    <t>Altered Neuronal Activity Patterns of thePrefrontal Cortex in Alzheimer’s DiseaseAfter Transcranial Alternating CurrentStimulation: A Resting-State fMRI Study</t>
  </si>
  <si>
    <t>Increasing Brain Gamma Activity Improves Episodic Memory and Restores Cholinergic Dysfunction in Alzheimer’s Disease</t>
  </si>
  <si>
    <t>Effects of 40 Hz transcranial alternating current stimulation (tACS) on cognitive functions of patients with Alzheimer’s disease: a randomised, doubleblind, sham-controlled clinical trial</t>
  </si>
  <si>
    <t>Impact of multisession 40Hz tACS on hippocampal perfusion in patients with Alzheimer’s disease</t>
  </si>
  <si>
    <t>Patient-Tailored, Home-Based Non-invasive Brain Stimulation for Memory Deficits in Dementia Due to Alzheimer’s Disease</t>
  </si>
  <si>
    <t>Exposure to gamma tACS in Alzheimer’s disease: A randomized, double-blind, sham-controlled, crossover, pilot study</t>
  </si>
  <si>
    <t>Preliminary Evidence for Perturbation‐Based tACS‐EEG Biomarkers of Gamma Activity in Alzheimer's Disease</t>
  </si>
  <si>
    <t xml:space="preserve">Tele-supervised home-based transcranial alternating current stimulation (tACS) for Alzheimer’s disease: a pilot study </t>
  </si>
  <si>
    <t>A Randomized Sham-Control Trial for Home-Based Transcranial Alternating Current Stimulation (tACS) In Alzheimer’s Disease</t>
  </si>
  <si>
    <t>PD</t>
  </si>
  <si>
    <t>MCI</t>
  </si>
  <si>
    <t>Dementia</t>
  </si>
  <si>
    <t>MCI/Dementia</t>
  </si>
  <si>
    <t>MS</t>
  </si>
  <si>
    <t>Huntington’s disease</t>
  </si>
  <si>
    <t>Glaucoma</t>
  </si>
  <si>
    <t>Lewy Body Dementia</t>
  </si>
  <si>
    <t>Stroke</t>
  </si>
  <si>
    <t>Epilepsy</t>
  </si>
  <si>
    <t>Mal de Débarquement Syndrome</t>
  </si>
  <si>
    <t>Chronic Low Back Pain</t>
  </si>
  <si>
    <t>Tinnitus</t>
  </si>
  <si>
    <t>Migraine</t>
  </si>
  <si>
    <t>Fibromyalgia</t>
  </si>
  <si>
    <t>22q11.2 deletion syndrome</t>
  </si>
  <si>
    <t>Essential Tremor</t>
  </si>
  <si>
    <t>Dystonic Tremor Syndromes</t>
  </si>
  <si>
    <t>Spinocerebellar Ataxia</t>
  </si>
  <si>
    <t>Ataxia</t>
  </si>
  <si>
    <t>Persistent post-concussive symptoms</t>
  </si>
  <si>
    <t>Unresponsive wakefulness syndrome</t>
  </si>
  <si>
    <t>Congenital Amusia</t>
  </si>
  <si>
    <t>Postoperative Sleep Disturbance</t>
  </si>
  <si>
    <t>Psychiatric Disorders</t>
  </si>
  <si>
    <t>Neurodegenerative Disorders</t>
  </si>
  <si>
    <t>Other Disorders</t>
  </si>
  <si>
    <t>Montreal Cognitive Assessment (MoCA)</t>
  </si>
  <si>
    <t>Trail Making Test Part A (TMT-A)</t>
  </si>
  <si>
    <t>Trail Making Test Part B (TMT-B)</t>
  </si>
  <si>
    <t>Mini Mental State Examination (MMSE)</t>
  </si>
  <si>
    <t>AD Assessment Scale - Cognitive subscale (ADAS-cog)</t>
  </si>
  <si>
    <t>WHO-UCLA Auditory Verbal Test - Delayed Recall (AVLT-DR)</t>
  </si>
  <si>
    <t>WHO-UCLA Auditory Verbal Test - Immediate Recall (AVLT-IR)</t>
  </si>
  <si>
    <t>WHO-UCLA Auditory Verbal Test - Recognition Recall (AVLT-R-R)</t>
  </si>
  <si>
    <t>FC LHIP-LMCG (Left hippocampus, Left middle cingulate gyrus)</t>
  </si>
  <si>
    <t>FC LHIP-LMFG (Left hippocampus, Left middle frontal gyrus)</t>
  </si>
  <si>
    <t>FC RHIP-RFusG (Right hippocampus, Right fusiform gyrus)</t>
  </si>
  <si>
    <t>FC LEC-RMTG (Left entorhinal cortex, Right middle temporal gyrus)</t>
  </si>
  <si>
    <t>FC REC-RFusG (Right entorhinal cortex, Right fusiform gyrus)</t>
  </si>
  <si>
    <t>Wang, T.</t>
  </si>
  <si>
    <t>Digit Span Forward</t>
  </si>
  <si>
    <t>Digit Span Backward</t>
  </si>
  <si>
    <t>Boston Naming Test (BNT)</t>
  </si>
  <si>
    <t>Trail Making Test (TMT B-A)</t>
  </si>
  <si>
    <t>Activities of Daily Living (ADL)</t>
  </si>
  <si>
    <t>Neuropsychiatric Inventory (NPI)</t>
  </si>
  <si>
    <t>Geriatric Depression Scale (GDS)</t>
  </si>
  <si>
    <t>Gamma Power Change (Left Frontal)</t>
  </si>
  <si>
    <t>Gamma Power Change (Right Frontal)</t>
  </si>
  <si>
    <t>Gamma Power Change (Left Parietal)</t>
  </si>
  <si>
    <t>Gamma Power Change (Right Parietal)</t>
  </si>
  <si>
    <t>Change in theta-gamma coupling (left hippocampus)</t>
  </si>
  <si>
    <t>Change in theta-gamma coupling (Right hippocampus)</t>
  </si>
  <si>
    <t>Average fractional amplitude of low-frequency fluctuation (fALFF) (left hippocampus)</t>
  </si>
  <si>
    <t>Average fractional amplitude of low-frequency fluctuation (fALFF) (right hippocampus)</t>
  </si>
  <si>
    <t>Tang, Y.</t>
  </si>
  <si>
    <t>Average fractional amplitude of low-frequency fluctuation (fALFF) L-MFG-Orb (Left middle frontal gyrus-orbital part)</t>
  </si>
  <si>
    <t>Average fractional amplitude of low-frequency fluctuation (fALFF) R-IFG-Orb (Right inferior frontal gyrus-orbital part)</t>
  </si>
  <si>
    <t>Average fractional amplitude of low-frequency fluctuation (fALFF) L-SPL (Left superior parietal lobule)</t>
  </si>
  <si>
    <t>Average fractional amplitude of low-frequency fluctuation (fALFF) R-ITG ( Right inferior temporal gyrus)</t>
  </si>
  <si>
    <t>Regional homogeneity (ReHo) L-PreCg (Left pre-central gyrus)</t>
  </si>
  <si>
    <t>Regional homogeneity (ReHo) R-MFG (Right middle frontal gyrus)</t>
  </si>
  <si>
    <t>Regional homogeneity (ReHo) L-MFG (Left middle frontal gyrus)</t>
  </si>
  <si>
    <t>Regional homogeneity (ReHo) R-SMFG (Right superior medial frontal gyrus)</t>
  </si>
  <si>
    <t>Face-Name Association memory Task (FNAT)</t>
  </si>
  <si>
    <t>Rey Auditory Verbal Learning test (RAVL) - Immediate Recall</t>
  </si>
  <si>
    <t>Rey Auditory Verbal Learning test (RAVL) - Delayed Recall</t>
  </si>
  <si>
    <t>Short-latency afferent inhibition (SAI)</t>
  </si>
  <si>
    <t>EEG Frequency Analysis (alpha)</t>
  </si>
  <si>
    <t>EEG Frequency Analysis (beta)</t>
  </si>
  <si>
    <t>EEG Frequency Analysis (theta)</t>
  </si>
  <si>
    <t>EEG Frequency Analysis (gamma)</t>
  </si>
  <si>
    <t>Clock Drawing Test</t>
  </si>
  <si>
    <t>Phonemic Fluencies</t>
  </si>
  <si>
    <t>Semantic Fluencies</t>
  </si>
  <si>
    <t>Benussi</t>
  </si>
  <si>
    <t>A-beta levels</t>
  </si>
  <si>
    <t>?</t>
  </si>
  <si>
    <t>Zhou</t>
  </si>
  <si>
    <t>Clinical Dementia Rating Scale (CDR)</t>
  </si>
  <si>
    <t>Memory Index scores</t>
  </si>
  <si>
    <t>Theta/gamma ratio (left angular gyrus)</t>
  </si>
  <si>
    <t>Cappon</t>
  </si>
  <si>
    <t>Craft Story 21 Recall Immediate</t>
  </si>
  <si>
    <t>Craft Story 21 Recall Delay</t>
  </si>
  <si>
    <t>Rey Auditory Verbal Learning Test (RAVLT)</t>
  </si>
  <si>
    <t>IL-10</t>
  </si>
  <si>
    <t>IL-17</t>
  </si>
  <si>
    <t xml:space="preserve"> TNFα (Tumor necrosis factor‐alpha)</t>
  </si>
  <si>
    <t>Bréchet</t>
  </si>
  <si>
    <t xml:space="preserve">Palmisano </t>
  </si>
  <si>
    <t xml:space="preserve">Benussi </t>
  </si>
  <si>
    <t>AD Cooperative Study - Activities of Daily Living (ADCS-ADL)</t>
  </si>
  <si>
    <t>Frontal Assessment Battery (F.A.B.)</t>
  </si>
  <si>
    <t>Quality of Life Enjoyment and Satisfaction Questionnaire Short Form (Q-LES-Q-SF)</t>
  </si>
  <si>
    <t>Apathy Motivation Index</t>
  </si>
  <si>
    <t>MRI Assessment</t>
  </si>
  <si>
    <t>Resting State EEG</t>
  </si>
  <si>
    <t>Long-term potentiation (LTP)</t>
  </si>
  <si>
    <t>total-tau</t>
  </si>
  <si>
    <t>Neurofilament light NFL levels</t>
  </si>
  <si>
    <t>Beta-amyloid levels</t>
  </si>
  <si>
    <t>p-tau levels</t>
  </si>
  <si>
    <t>Mencarelli</t>
  </si>
  <si>
    <t>Category Fluency</t>
  </si>
  <si>
    <t>CBF values (right temporal lobe)</t>
  </si>
  <si>
    <t>CBF values (left temporal lobe)</t>
  </si>
  <si>
    <t>CBF values (right frontal lobe)</t>
  </si>
  <si>
    <t xml:space="preserve">Gamma spectral power changes </t>
  </si>
  <si>
    <t>Sprugnoli</t>
  </si>
  <si>
    <t>Cognitive and Neuropsychiatric Effects of 40 Hz tACS Simultaneously with Cognitive Exercises for Dementia: A Randomized, Crossover, Double-Blind, Sham-Controlled Study</t>
  </si>
  <si>
    <t>ADAS-Cog Trajectories Differ from Expected Decline in Dementia Following Repeated Non-Invasive Interventions over 3 Years</t>
  </si>
  <si>
    <t>The effect of transcranial alternating current stimulation (tACS) on cognitive function in older adults with dementia</t>
  </si>
  <si>
    <t>Promising Role of Neuromodulation in Predicting the Progression of Mild Cognitive Impairment to Dementia</t>
  </si>
  <si>
    <t>MRI-individualized, multi-electrode tACS enhances the induced electrical field strength in the targeted area of mild cognitive impairment patients</t>
  </si>
  <si>
    <t>tACS as a promising therapeutic option for improving cognitive function in mild cognitive impairment: A direct comparison between tACS and tDCS</t>
  </si>
  <si>
    <t>Daily high-frequency transcranial random noise stimulation (hf-tRNS) for sleep disturbances and cognitive dysfunction in patients with mild vascular cognitive impairments: A study protocol for a pilot randomized controlled trial</t>
  </si>
  <si>
    <t>Enhancing cognitive control in amnestic mild cognitive impairment via at‑home non‑invasive neuromodulation in a randomized trial</t>
  </si>
  <si>
    <t>Transcranial Alternating Current Stimulation and Cognitive Training Enhanced Performance and Theta Activity in Adults With Cognitive Impairment</t>
  </si>
  <si>
    <t>2025a</t>
  </si>
  <si>
    <t>2025b</t>
  </si>
  <si>
    <t>2016b</t>
  </si>
  <si>
    <t>Neuropsychiatric Inventory Questionnaire (NPI-Q)</t>
  </si>
  <si>
    <t>Montgomery–Åsberg Depression Rating Scale (MADRS)</t>
  </si>
  <si>
    <t>Uehara</t>
  </si>
  <si>
    <t>Wechsler Memory Scale (WMS)</t>
  </si>
  <si>
    <t>Wechsler Memory Scale (WMS-IV</t>
  </si>
  <si>
    <t>Kehler</t>
  </si>
  <si>
    <t>Reversal motor learning (RML)</t>
  </si>
  <si>
    <t>Clock Drawing Test (CDT)</t>
  </si>
  <si>
    <t>Digtial Span (DS)</t>
  </si>
  <si>
    <t>Category Verbal Fluency (CVF)</t>
  </si>
  <si>
    <t>Letter Verbal Fluency (LVF)</t>
  </si>
  <si>
    <t>Attentive matrices (AM)</t>
  </si>
  <si>
    <t>Instrumental Activities of Daily Living (IADL)</t>
  </si>
  <si>
    <t>GBO Power (M1)</t>
  </si>
  <si>
    <t>GBO Power (DLPFC)</t>
  </si>
  <si>
    <t>GBO Power (DMPFC)</t>
  </si>
  <si>
    <t>Naro</t>
  </si>
  <si>
    <t>Stroop Word test</t>
  </si>
  <si>
    <t>Stroop Color test</t>
  </si>
  <si>
    <t>EEG-power values (delta)</t>
  </si>
  <si>
    <t>EEG-power values (beta)</t>
  </si>
  <si>
    <t>EEG-power values (theta)</t>
  </si>
  <si>
    <t>Kim</t>
  </si>
  <si>
    <t>RT hits - Oddball Task</t>
  </si>
  <si>
    <t>RT false alarms - Oddball Tasks</t>
  </si>
  <si>
    <t>RT S-S Task</t>
  </si>
  <si>
    <t>RT SRC Task</t>
  </si>
  <si>
    <t>Event-Related Theta Amplitude (Ertheta)</t>
  </si>
  <si>
    <t xml:space="preserve">Cid-Fernández </t>
  </si>
  <si>
    <t xml:space="preserve">Sustained Attention </t>
  </si>
  <si>
    <t>Working Memory</t>
  </si>
  <si>
    <t>Inhibitory Control</t>
  </si>
  <si>
    <t>Attentional Orienting</t>
  </si>
  <si>
    <t>Visuospatial Search</t>
  </si>
  <si>
    <t>MT Perceptual Discrimination</t>
  </si>
  <si>
    <t>MT Visuomotor Tracking</t>
  </si>
  <si>
    <t xml:space="preserve">Jones </t>
  </si>
  <si>
    <t>Pittsburgh Sleep Quality Index (PSQI)</t>
  </si>
  <si>
    <t>Attention Network Test (ANT)</t>
  </si>
  <si>
    <t>Category Verbal Fluency Test (CVFT)</t>
  </si>
  <si>
    <t>Objective assessment of circadian rhythms</t>
  </si>
  <si>
    <t>Montreal Cognitive Assessment Hong Kong version (HK MoCA)</t>
  </si>
  <si>
    <t>Gong</t>
  </si>
  <si>
    <t>Induced electrical field (left angular gyrus)</t>
  </si>
  <si>
    <t>Deviation of induced electrical field</t>
  </si>
  <si>
    <t>Rochas</t>
  </si>
  <si>
    <t>Alpha tACS Improves Cognition and Modulates Neurotransmission in Dementia with Lewy Bodies</t>
  </si>
  <si>
    <t>Visual search (unique feature)</t>
  </si>
  <si>
    <t>Visual search (conjunction)</t>
  </si>
  <si>
    <t>MMSE Pentagon Test</t>
  </si>
  <si>
    <t>Mean SICI</t>
  </si>
  <si>
    <t>Mean ICF</t>
  </si>
  <si>
    <t>Mean SAI</t>
  </si>
  <si>
    <t>EEG Frequency bands (alpha)</t>
  </si>
  <si>
    <t>EEG Frequency bands (beta)</t>
  </si>
  <si>
    <t>EEG Frequency bands (theta)</t>
  </si>
  <si>
    <t>EEG Frequency bands (gamma)</t>
  </si>
  <si>
    <t>MMSE</t>
  </si>
  <si>
    <t>TMT</t>
  </si>
  <si>
    <t>RVLT</t>
  </si>
  <si>
    <t>MoCA</t>
  </si>
  <si>
    <t>Adas-cog</t>
  </si>
  <si>
    <t>Single session cross-frequency bifocal tACS modulates visual motion network activity in young healthy population and stroke patients</t>
  </si>
  <si>
    <t>Alpha transcranial alternating current stimulation as add-on to neglect training: a randomized trial</t>
  </si>
  <si>
    <t>Transcranial alternating current stimulation enhances speech comprehension in chronic post-stroke aphasia patients: A single-blind sham-controlled study</t>
  </si>
  <si>
    <t>Differential Effects of 10 and 20 Hz Brain Stimulation in Chronic Stroke: A tACS-fMRI Study</t>
  </si>
  <si>
    <t>Reorganization of Brain Functional Connectivity Network and Vision Restoration Following Combined tACS-tDCS Treatment After Occipital Stroke</t>
  </si>
  <si>
    <t>Network to Network Functional Connectivity Modulated by Transcranial Alternating Current Stimulation in Chronic Stroke</t>
  </si>
  <si>
    <t>Efficacy of transcranial alternating current stimulation over bilateral mastoids (tACSbm) on enhancing recovery of subacute post-stroke patients</t>
  </si>
  <si>
    <t>Differential effects of theta-gamma tACS on motor skill acquisition in young individuals and stroke survivors: A double-blind, randomized, sham-controlled study</t>
  </si>
  <si>
    <t>The Effects of 10 Hz and 20 Hz tACS in Network Integration and Segregation in Chronic Stroke: A Graph Theoretical fMRI Study</t>
  </si>
  <si>
    <t>Chen C, Yuan K, Chu WC, Tong RK</t>
  </si>
  <si>
    <t>Transcranial alternating brain stimulation at alpha frequency reduces hemispatial neglect symptoms in stroke patients</t>
  </si>
  <si>
    <t>Schuhmann T, Duecker F, Middag-van Spanje M, Gallotto S, van Heugten C, Schrijnemaekers AC, van Oostenbrugge R, Sack AT</t>
  </si>
  <si>
    <t>Physiological and behavioral effects of b-tACS on brain self-regulation in chronic stroke</t>
  </si>
  <si>
    <t>Effects of Transcranial Electrical Stimulation in Stroke Individuals</t>
  </si>
  <si>
    <t>Wanalee Klomjai</t>
  </si>
  <si>
    <t>Individualized connectomic tACS immediately improves oscillatory network with language facilitation in post-stroke aphasia: a feasibility study of a dysfunctome-based targeting approach</t>
  </si>
  <si>
    <t>The effects of gamma-tACS on cognitive impairment in multiple sclerosis: Arandomized, double-blind, sham-controlled,pilot study</t>
  </si>
  <si>
    <t>Effects of transcranial alternating current stimulation on cognitive function in people with multiple sclerosis: A randomized controlled trial</t>
  </si>
  <si>
    <t>Expanded Disability Status Scale (EDSS)</t>
  </si>
  <si>
    <t>Digit Span Backward (DSBW)</t>
  </si>
  <si>
    <t>Symbol Digit Modalities Test (SDMT)</t>
  </si>
  <si>
    <t>EEG Power Connectivity (Intervention)</t>
  </si>
  <si>
    <t>EEG Power Connectivity (Time)</t>
  </si>
  <si>
    <t>EEG Power Connectivity (Frequency)</t>
  </si>
  <si>
    <t>EEG Power Connectivity (Intervention x Time)</t>
  </si>
  <si>
    <t>EEG Power Connectivity (Intervention x Frequency)</t>
  </si>
  <si>
    <t>EEG Power Connectivity (Intervention x Time x Frequency)</t>
  </si>
  <si>
    <t>Spectral Density (theta)</t>
  </si>
  <si>
    <t>Spectral Density (alpha)</t>
  </si>
  <si>
    <t>Spectral Density (lowbeta)</t>
  </si>
  <si>
    <t>Spectral Density (highbeta)</t>
  </si>
  <si>
    <t>Spectral Density (gamma)</t>
  </si>
  <si>
    <t>Functional Connectivity (theta)</t>
  </si>
  <si>
    <t>Functional Connectivity (alpha)</t>
  </si>
  <si>
    <t>Functional Connectivity (lowbeta)</t>
  </si>
  <si>
    <t>Functional Connectivity (highbeta)</t>
  </si>
  <si>
    <t>Functional Connectivity (gamma)</t>
  </si>
  <si>
    <t>Ferrazzano</t>
  </si>
  <si>
    <t>Symbol digit modalities test (SDMT)</t>
  </si>
  <si>
    <t>Hsu</t>
  </si>
  <si>
    <t>Schenkenberg line bisection task (SLBT)</t>
  </si>
  <si>
    <t>Baking tray task (BTT)</t>
  </si>
  <si>
    <t>Catherine Bergego scale (CBS)</t>
  </si>
  <si>
    <t>Subjective neglect questionnaire (SNQ)</t>
  </si>
  <si>
    <t>Star Cancellation Task (SCT)/ Quality of Search Score (QoS)</t>
  </si>
  <si>
    <t>McIntosh line bisection task-digitized (MLBT-d) / endpoint weightings bias (EWB)</t>
  </si>
  <si>
    <t>Computerized visual detection task (CVDT), weighted hits contralesional</t>
  </si>
  <si>
    <t>Computerized visual detection task (CVDT), weighted hits bilateral</t>
  </si>
  <si>
    <t>Middag-van Spanje</t>
  </si>
  <si>
    <t>Aphasia Battery of Chinese (ABC) - Spontaneous Speech</t>
  </si>
  <si>
    <t>Aphasia Battery of Chinese (ABC) - Auditory Verbal Comprehension (AVC)</t>
  </si>
  <si>
    <t>Aphasia Battery of Chinese (ABC) - Repetition</t>
  </si>
  <si>
    <t xml:space="preserve">Aphasia Battery of Chinese (ABC) - Naming </t>
  </si>
  <si>
    <t>Aphasia Quotient (AQ)</t>
  </si>
  <si>
    <t>Xie</t>
  </si>
  <si>
    <t>NIH Stroke Scale (NIHSS) - Total Score</t>
  </si>
  <si>
    <t>NIHSS - Level of Consciousness</t>
  </si>
  <si>
    <t>NIHSS - Gaze</t>
  </si>
  <si>
    <t>NIHSS - Visual field</t>
  </si>
  <si>
    <t>NIHSS - Facial Palsy</t>
  </si>
  <si>
    <t>NIHSS - Extremity Strength</t>
  </si>
  <si>
    <t>NIHSS - Sensory Function</t>
  </si>
  <si>
    <t>NIHSS - Limb Ataxia</t>
  </si>
  <si>
    <t>NIHSS - Aphasia</t>
  </si>
  <si>
    <t>NIHSS - Dysarthria</t>
  </si>
  <si>
    <t>NIHSS - Formerly Neglect</t>
  </si>
  <si>
    <t>Mean flow velocity (MFV) - Middle Cerebral Artery (MCA) - Lesion hemisphere</t>
  </si>
  <si>
    <t>MFV - Posterior Cerebral Artery (PCA) - Lesion hemisphere</t>
  </si>
  <si>
    <t>MFV - Anterior Cerebral Artery (ACA)  - Lesion hemisphere</t>
  </si>
  <si>
    <t>Mean flow velocity (MFV) - Middle Cerebral Artery (MCA) - Non-lesion hemisphere</t>
  </si>
  <si>
    <t>MFV - Anterior Cerebral Artery (ACA) - Non-lesion hemisphere</t>
  </si>
  <si>
    <t>MFV - Posterior Cerebral Artery (PCA) - Non-lesion hemisphere</t>
  </si>
  <si>
    <t>Gosling pulsatility index (PI) - Middle Cerebral Artery (MCA) - Lesion hemisphere</t>
  </si>
  <si>
    <t>Gosling pulsatility index (PI) - Anterior Cerebral Artery (ACA) - Lesion hemisphere</t>
  </si>
  <si>
    <t>Gosling pulsatility index (PI) - Posterior Cerebral Artery (PCA) - Lesion hemisphere</t>
  </si>
  <si>
    <t>Gosling pulsatility index (PI) - Middle Cerebral Artery (MCA) - Non-lesion hemisphere</t>
  </si>
  <si>
    <t>Gosling pulsatility index (PI) - Anterior Cerebral Artery (ACA) - Non-lesion hemisphere</t>
  </si>
  <si>
    <t>Gosling pulsatility index (PI) - Posterior Cerebral Artery (PCA) - Non-lesion hemisphere</t>
  </si>
  <si>
    <t>Wu</t>
  </si>
  <si>
    <t>Clustering Coefficient Change - Motor related regions</t>
  </si>
  <si>
    <t>Clustering Coefficient Change - whole brain level</t>
  </si>
  <si>
    <t>Local Efficiency Change - Motor related regions</t>
  </si>
  <si>
    <t>Local Efficiency Change - whole brain level</t>
  </si>
  <si>
    <t>Modularity</t>
  </si>
  <si>
    <t>Within-module degree z-score</t>
  </si>
  <si>
    <t>Participation coefficient</t>
  </si>
  <si>
    <t>Community structure</t>
  </si>
  <si>
    <t>Computerized visual detection task (CVDT), weighted hits ipsilesional</t>
  </si>
  <si>
    <t>Bell’s Task (BT) - corrected average misses contralesional</t>
  </si>
  <si>
    <t>Bell’s Task (BT) - corrected average misses ipsilesional</t>
  </si>
  <si>
    <t>Line Bisection Task (LBT)</t>
  </si>
  <si>
    <t>Phase Amplitude Coupling (PAC) V1 α-phase-MT ɣ-amp (forward tACS)</t>
  </si>
  <si>
    <t>Phase Amplitude Coupling (PAC) V1 α-phase-MT ɣ-amp (backward tACS)</t>
  </si>
  <si>
    <t>Phase Amplitude Coupling (PAC) MT ɣ-amp - V1 α-phase (forward tACS)</t>
  </si>
  <si>
    <t>Phase Amplitude Coupling (PAC) MT ɣ-amp - V1 α-phase (backward tACS)</t>
  </si>
  <si>
    <t>Normalized Direction Range (NDR) (forward tACS)</t>
  </si>
  <si>
    <t>Normalized Direction Range (NDR) (backward tACS)</t>
  </si>
  <si>
    <t>Global Clustering Coefficient</t>
  </si>
  <si>
    <t>Node Strength - Occipital_Mid_LH</t>
  </si>
  <si>
    <t>Node Strength - Occipital_Sup_LH</t>
  </si>
  <si>
    <t>CPL (Characteristic Path Length)</t>
  </si>
  <si>
    <t>RT change (white areas) FU-Pre</t>
  </si>
  <si>
    <t>RT change (white areas) Post-Pre</t>
  </si>
  <si>
    <t>RT change (gray areas) FU-Pre</t>
  </si>
  <si>
    <t>RT change (gray areas) Post-Pre</t>
  </si>
  <si>
    <t>Field of Vision (FOV) FU-Pre</t>
  </si>
  <si>
    <t>Field of Vision (FOV) Post-Pre</t>
  </si>
  <si>
    <t>Dorsal attention network (DAN)</t>
  </si>
  <si>
    <t>Default-mode network (DMN)</t>
  </si>
  <si>
    <t>executive control network</t>
  </si>
  <si>
    <t>visual network</t>
  </si>
  <si>
    <t>motor network</t>
  </si>
  <si>
    <t>contralesional fronto-parietal network (CFP)</t>
  </si>
  <si>
    <t>ipsilesional fronto-parietal network (IFP)</t>
  </si>
  <si>
    <t>FC DAN-DMN</t>
  </si>
  <si>
    <t>FC DAN-executive</t>
  </si>
  <si>
    <t>FC DAN-motor</t>
  </si>
  <si>
    <t>FC DAN-visual</t>
  </si>
  <si>
    <t>FC DAN-CFP</t>
  </si>
  <si>
    <t>FC DAN-IFP</t>
  </si>
  <si>
    <t>FC DMN-executive</t>
  </si>
  <si>
    <t>FC DMN-motor</t>
  </si>
  <si>
    <t>FC DMN-visual</t>
  </si>
  <si>
    <t>FC DMN-CFP</t>
  </si>
  <si>
    <t>FC DMN-IFP</t>
  </si>
  <si>
    <t>FC executive-motor</t>
  </si>
  <si>
    <t>FC executive-visual</t>
  </si>
  <si>
    <t>FC executive-CFP</t>
  </si>
  <si>
    <t>FC executive-IFP</t>
  </si>
  <si>
    <t>FC motor-visual</t>
  </si>
  <si>
    <t>FC motor-CFP</t>
  </si>
  <si>
    <t>FC motor-IFP</t>
  </si>
  <si>
    <t>FC visual-CFP</t>
  </si>
  <si>
    <t>FC visual-IFP</t>
  </si>
  <si>
    <t>Yuan</t>
  </si>
  <si>
    <t>Paretic hand activation - ipsilesional precentral area</t>
  </si>
  <si>
    <t>Non-paretic hand activation - ipsilesional precentral area</t>
  </si>
  <si>
    <t>Paretic hand activation - contralesional precentral area</t>
  </si>
  <si>
    <t>Non-paretic hand activation - contralesional precentral area</t>
  </si>
  <si>
    <t>FC ipsilesional lateral sensorimotor area (Pre)</t>
  </si>
  <si>
    <t>FC ipsilesional lateral sensorimotor area (During)</t>
  </si>
  <si>
    <t>FC ipsilesional lateral sensorimotor area (Post)</t>
  </si>
  <si>
    <t>FC DMN-MPFC</t>
  </si>
  <si>
    <t>FC DMN-PCC</t>
  </si>
  <si>
    <t>FC DMN-LP (R)</t>
  </si>
  <si>
    <t>FC SN-RPFC (R)</t>
  </si>
  <si>
    <t>FC FPN-PPC (R)</t>
  </si>
  <si>
    <t>FC LN-pSTG (R)</t>
  </si>
  <si>
    <t>FC DMN-LP (L)</t>
  </si>
  <si>
    <t>FC SMN-Lateral (L)</t>
  </si>
  <si>
    <t>FC VN-Medial</t>
  </si>
  <si>
    <t>FC SN-ACC</t>
  </si>
  <si>
    <t>FC SN-Ainsula (L)</t>
  </si>
  <si>
    <t>FC SN-Ainsula (R)</t>
  </si>
  <si>
    <t>FC SN-RPFC (L)</t>
  </si>
  <si>
    <t>FC SN-SMG (L)</t>
  </si>
  <si>
    <t>FC SN-SMG (R)</t>
  </si>
  <si>
    <t>FC DAN-IPS (L)</t>
  </si>
  <si>
    <t>FC LN-IFG (R)</t>
  </si>
  <si>
    <t>FC SMN-Lateral (R)</t>
  </si>
  <si>
    <t>FC SMN-Superior</t>
  </si>
  <si>
    <t>FC DAN-FEF (L)</t>
  </si>
  <si>
    <t>FC DAN-FEF (R)</t>
  </si>
  <si>
    <t>FC DAN-IPS (R)</t>
  </si>
  <si>
    <t>FC FPN-LPFC (L)</t>
  </si>
  <si>
    <t>FC CB-Anterior</t>
  </si>
  <si>
    <t>FC CB-Posterior</t>
  </si>
  <si>
    <t>FC VN-Occipital</t>
  </si>
  <si>
    <t>FC VN-Lateral (L)</t>
  </si>
  <si>
    <t>FC VN-Lateral (R)</t>
  </si>
  <si>
    <t>FC LN-IFG (L)</t>
  </si>
  <si>
    <t>FC LN-pSTG (L)</t>
  </si>
  <si>
    <t>Xu</t>
  </si>
  <si>
    <t>Bevilacqua</t>
  </si>
  <si>
    <t>Motor Skill Acquisition</t>
  </si>
  <si>
    <t>Mean Movement duration</t>
  </si>
  <si>
    <t>Baseline Movement Duration</t>
  </si>
  <si>
    <t xml:space="preserve">Peak acceleration </t>
  </si>
  <si>
    <t xml:space="preserve">Baseline Peak Acceleration </t>
  </si>
  <si>
    <t>Grigutsch L</t>
  </si>
  <si>
    <t>Classification Accuracy BRI 1</t>
  </si>
  <si>
    <t>Classification Accuracy BRI 2</t>
  </si>
  <si>
    <t>Beta Power BRI I (motor imagery)</t>
  </si>
  <si>
    <t>Beta Power BRI 2 (motor imagery)</t>
  </si>
  <si>
    <t>Beta Power BRI I (rest)</t>
  </si>
  <si>
    <t>Beta Power BRI 2 (rest)</t>
  </si>
  <si>
    <t>Beta Power variance BRI 1 (motor imagery)</t>
  </si>
  <si>
    <t>Beta Power variance BRI 2 (motor imagery)</t>
  </si>
  <si>
    <t>Beta Power variance BRI 1 (rest)</t>
  </si>
  <si>
    <t>Beta Power variance BRI 2 (rest)</t>
  </si>
  <si>
    <t>Naros</t>
  </si>
  <si>
    <t>Target Node Strength</t>
  </si>
  <si>
    <t>Target Edge Weight</t>
  </si>
  <si>
    <t>Normalized Target Node Strength</t>
  </si>
  <si>
    <t>Connectivity in the target dysfunctome</t>
  </si>
  <si>
    <t>Normalized Connectivity in the target dysfunctome</t>
  </si>
  <si>
    <t>Clustering Coefficient</t>
  </si>
  <si>
    <t>Global Efficiency</t>
  </si>
  <si>
    <t>Small-worldness</t>
  </si>
  <si>
    <t>Divergent Naming</t>
  </si>
  <si>
    <t>Cheung</t>
  </si>
  <si>
    <t>Home-Based Gamma Transcranial Alternating Current Stimulation 
in Patients With Alzheimer Disease - A Randomized Clinical Trial</t>
  </si>
  <si>
    <t>Cantoni</t>
  </si>
  <si>
    <t>AD Assessment Scale - Cognitive subscale (ADAS-cog) -13-item version</t>
  </si>
  <si>
    <t>CDR-SOB (sum of boxes)</t>
  </si>
  <si>
    <t>ADCS-ADL, Alzheimer Disease Cooperative Study−Activities of Daily Living</t>
  </si>
  <si>
    <t>FNAT, Face-Name Association Test</t>
  </si>
  <si>
    <t>SAI</t>
  </si>
  <si>
    <t>RAVLT</t>
  </si>
  <si>
    <t>Semantic Fluency Task</t>
  </si>
  <si>
    <t>Gamma Power Spectral Density T0</t>
  </si>
  <si>
    <t>Gamma Power Spectral Density T2</t>
  </si>
  <si>
    <t>Gamma Power Spectral Density T3</t>
  </si>
  <si>
    <t>Gamma Power Spectral Density T4</t>
  </si>
  <si>
    <t>Gamma tACS</t>
  </si>
  <si>
    <t>Sham tACS</t>
  </si>
  <si>
    <t>40 Hz Gamma tACS</t>
  </si>
  <si>
    <t>4.45 x 9.53</t>
  </si>
  <si>
    <t>3.18 x 3.81</t>
  </si>
  <si>
    <t>Mastoid region</t>
  </si>
  <si>
    <t>Fpz, Fp1, Fp2</t>
  </si>
  <si>
    <t>sham</t>
  </si>
  <si>
    <t>Bitemporal tACS</t>
  </si>
  <si>
    <t>Unilateral temporal-frontal tACS</t>
  </si>
  <si>
    <t>40 Hz HB-tACS</t>
  </si>
  <si>
    <t>Global Cognition</t>
  </si>
  <si>
    <t>FSIQ</t>
  </si>
  <si>
    <t>FAB</t>
  </si>
  <si>
    <t>ADAS-cog</t>
  </si>
  <si>
    <t xml:space="preserve">Study </t>
  </si>
  <si>
    <t>Study ID</t>
  </si>
  <si>
    <t>Cognitive Outcome</t>
  </si>
  <si>
    <t>Cognitive Domain</t>
  </si>
  <si>
    <t>Outcome Measure</t>
  </si>
  <si>
    <t>Time Point</t>
  </si>
  <si>
    <t>Median Test Score (IQR)</t>
  </si>
  <si>
    <t>Baseline</t>
  </si>
  <si>
    <t>Score_int</t>
  </si>
  <si>
    <t>Score_cont</t>
  </si>
  <si>
    <t>14 (12-16)</t>
  </si>
  <si>
    <t>15 (13-18)</t>
  </si>
  <si>
    <t>Week 3</t>
  </si>
  <si>
    <t>Month 3</t>
  </si>
  <si>
    <t>Estimated score change (95% CI)</t>
  </si>
  <si>
    <t>2 (1, 3.5)</t>
  </si>
  <si>
    <t>1.5 (0, 3.5)</t>
  </si>
  <si>
    <t>0.5 (-0.5, 1.5)</t>
  </si>
  <si>
    <t>0.5 (-0.5, 2)</t>
  </si>
  <si>
    <t>AVLT</t>
  </si>
  <si>
    <t>Notes</t>
  </si>
  <si>
    <t>Total Test Score</t>
  </si>
  <si>
    <t>Verbal Memory</t>
  </si>
  <si>
    <t>Immediate Recall (trial 1-5)</t>
  </si>
  <si>
    <t>15 (11-18)</t>
  </si>
  <si>
    <t>15 (10-19)</t>
  </si>
  <si>
    <t>1.5 (-1,4)</t>
  </si>
  <si>
    <t>1 (-1, 3.5)</t>
  </si>
  <si>
    <t xml:space="preserve"> -1 (-3,5)</t>
  </si>
  <si>
    <t xml:space="preserve"> -1 (-3.5, 1.5)</t>
  </si>
  <si>
    <t>Delayed Recall</t>
  </si>
  <si>
    <t>0 (0-2)</t>
  </si>
  <si>
    <t>0.5 (0, 2.5)</t>
  </si>
  <si>
    <t>0 (−1, 0.5)</t>
  </si>
  <si>
    <t>Recognition Recall</t>
  </si>
  <si>
    <t>6 (3–9)</t>
  </si>
  <si>
    <t>6 (3–7)</t>
  </si>
  <si>
    <t>0.5 (−1, 2)</t>
  </si>
  <si>
    <t>−0.5 (−2.5, 1)</t>
  </si>
  <si>
    <t xml:space="preserve">−0.5 (−2, 1) </t>
  </si>
  <si>
    <t>0 (−1.5, 1.5)</t>
  </si>
  <si>
    <t>Score_mean_int</t>
  </si>
  <si>
    <t>Score_mean_con</t>
  </si>
  <si>
    <t>Score_sd_int</t>
  </si>
  <si>
    <t>Score_sd_con</t>
  </si>
  <si>
    <t>Score_med_int</t>
  </si>
  <si>
    <t>Score_med_cont</t>
  </si>
  <si>
    <t>-</t>
  </si>
  <si>
    <t>Estimated mean score change</t>
  </si>
  <si>
    <t xml:space="preserve">Estimated mean score change </t>
  </si>
  <si>
    <t>Post-tACS (week 2)</t>
  </si>
  <si>
    <t>Post-tACS</t>
  </si>
  <si>
    <t>Mini Non-visual MOCA</t>
  </si>
  <si>
    <t>Memory</t>
  </si>
  <si>
    <t>Post-Tacs</t>
  </si>
  <si>
    <t>Sub-score (out of 15)</t>
  </si>
  <si>
    <t>Memory Index Score</t>
  </si>
  <si>
    <t>Total Recall</t>
  </si>
  <si>
    <t>Baseline scores were correlated with EEG</t>
  </si>
  <si>
    <t>5 min. Telehealth MoCA</t>
  </si>
  <si>
    <t xml:space="preserve"> Memory Index Score</t>
  </si>
  <si>
    <t>Acute Phase (14 weeks)</t>
  </si>
  <si>
    <t>Hiatus Phase (no tACS, 2-3 months)</t>
  </si>
  <si>
    <t>Taper Phase (maintenance tACS, 2-3 months)</t>
  </si>
  <si>
    <t>MoCA (HK version)</t>
  </si>
  <si>
    <t>Protocol (no data found)</t>
  </si>
  <si>
    <t>Need to request data</t>
  </si>
  <si>
    <t>During tACS</t>
  </si>
  <si>
    <t>SWMT</t>
  </si>
  <si>
    <t>BNT</t>
  </si>
  <si>
    <t>PVF</t>
  </si>
  <si>
    <t>HVLT</t>
  </si>
  <si>
    <t>RCFT</t>
  </si>
  <si>
    <t>EMQ-R</t>
  </si>
  <si>
    <t>CS21</t>
  </si>
  <si>
    <t>FNAT</t>
  </si>
  <si>
    <t>MoCA MIS</t>
  </si>
  <si>
    <t>TMT-A</t>
  </si>
  <si>
    <t>TMT-B</t>
  </si>
  <si>
    <t>IVA</t>
  </si>
  <si>
    <t>CPT</t>
  </si>
  <si>
    <t>BART</t>
  </si>
  <si>
    <t>DDT</t>
  </si>
  <si>
    <t>MID</t>
  </si>
  <si>
    <t>MRLT</t>
  </si>
  <si>
    <t>EERT</t>
  </si>
  <si>
    <t>DSB</t>
  </si>
  <si>
    <t>DSF</t>
  </si>
  <si>
    <t>WMS-IV</t>
  </si>
  <si>
    <t>CVLT-SDFR</t>
  </si>
  <si>
    <t>CVLT-LDFR</t>
  </si>
  <si>
    <t>SDMT</t>
  </si>
  <si>
    <t>CDT</t>
  </si>
  <si>
    <t>TMT B-A</t>
  </si>
  <si>
    <t>IADL</t>
  </si>
  <si>
    <t>MATRICS</t>
  </si>
  <si>
    <t>Intervention With Non-Invasive Brain Stimulation and Cognitive Training for Depressive Symptomatology Associated With Breast Cancer (ONCODEP)</t>
  </si>
  <si>
    <t>Salgado</t>
  </si>
  <si>
    <t>DelFelice</t>
  </si>
  <si>
    <t>Personalized transcranial alternating current stimulation (tACS) and physical therapy to treat motor and cognitive symptoms in Parkinson's disease: A randomized cross-over trial</t>
  </si>
  <si>
    <t>Guerra</t>
  </si>
  <si>
    <t>Enhancing Gamma Oscillations Restores Primary Motor Cortex Plasticity in Parkinson’s Disease</t>
  </si>
  <si>
    <t>2023b</t>
  </si>
  <si>
    <t>Assessing the interaction between L-dopa andγ-transcranial alternating current stimulation effects onprimary motor cortex plasticity in Parkinson’s disease</t>
  </si>
  <si>
    <t>Liu</t>
  </si>
  <si>
    <t>Common and specific effects in brain oscillations and motor symptoms of tDCS and tACS in Parkinson’s disease</t>
  </si>
  <si>
    <t>Bernardi</t>
  </si>
  <si>
    <t>Beyond physiotherapy and pharmacological treatment for fibromyalgia syndrome: tailored tACS as a new therapeutic tool</t>
  </si>
  <si>
    <t>T0</t>
  </si>
  <si>
    <t>T1</t>
  </si>
  <si>
    <t>T2</t>
  </si>
  <si>
    <t>24,79</t>
  </si>
  <si>
    <t>22,71</t>
  </si>
  <si>
    <t>26,5</t>
  </si>
  <si>
    <t>23,71</t>
  </si>
  <si>
    <t>Cross-over study, double check if values are mean or difference scores</t>
  </si>
  <si>
    <t>Need to ask for raw data</t>
  </si>
  <si>
    <t>PASAT</t>
  </si>
  <si>
    <t>VWM</t>
  </si>
  <si>
    <t>Dual N-back</t>
  </si>
  <si>
    <t>BACS</t>
  </si>
  <si>
    <t>RBANS</t>
  </si>
  <si>
    <t>BAC</t>
  </si>
  <si>
    <t>DSST</t>
  </si>
  <si>
    <t>VFT</t>
  </si>
  <si>
    <t>CVFT</t>
  </si>
  <si>
    <t>LVFT</t>
  </si>
  <si>
    <t>Stroop Task</t>
  </si>
  <si>
    <t>SRTT</t>
  </si>
  <si>
    <t>Subdomain</t>
  </si>
  <si>
    <t>Scoring Direction</t>
  </si>
  <si>
    <t>Global cognition</t>
  </si>
  <si>
    <t>Higher = better</t>
  </si>
  <si>
    <t>Intelligence</t>
  </si>
  <si>
    <t>Executive function</t>
  </si>
  <si>
    <t>Planning, inhibition, verbal fluency</t>
  </si>
  <si>
    <t>Neurocognition</t>
  </si>
  <si>
    <t>Executive / Visuospatial</t>
  </si>
  <si>
    <t>Planning, visuospatial construction</t>
  </si>
  <si>
    <t>Executive</t>
  </si>
  <si>
    <t>Cognitive flexibility / set-shifting</t>
  </si>
  <si>
    <t>Lower = better</t>
  </si>
  <si>
    <t>Functional ability</t>
  </si>
  <si>
    <t>Instrumental ADLs</t>
  </si>
  <si>
    <t>Semantic Fluency (CVFT)</t>
  </si>
  <si>
    <t>Language / Executive</t>
  </si>
  <si>
    <t>Semantic memory</t>
  </si>
  <si>
    <t>Phonemic or semantic fluency</t>
  </si>
  <si>
    <t>Phonemic fluency</t>
  </si>
  <si>
    <t>Cognitive control / inhibitory control</t>
  </si>
  <si>
    <t>Accuracy: higher = better; RT: lower = better</t>
  </si>
  <si>
    <t>Working memory</t>
  </si>
  <si>
    <t>Short-term maintenance / retrieval</t>
  </si>
  <si>
    <t>Language</t>
  </si>
  <si>
    <t>Naming / lexical retrieval</t>
  </si>
  <si>
    <t>Phonemic verbal fluency</t>
  </si>
  <si>
    <t>DSB (Digit Span Backward)</t>
  </si>
  <si>
    <t>Auditory working memory</t>
  </si>
  <si>
    <t>Verbal memory</t>
  </si>
  <si>
    <t>Immediate / delayed recall</t>
  </si>
  <si>
    <t>Visuospatial / memory</t>
  </si>
  <si>
    <t>Subjective memory</t>
  </si>
  <si>
    <t>Everyday memory complaints</t>
  </si>
  <si>
    <t>Attention / executive</t>
  </si>
  <si>
    <t>Sustained attention / interference control</t>
  </si>
  <si>
    <t>Language / naming</t>
  </si>
  <si>
    <t>Action / object naming</t>
  </si>
  <si>
    <t>Delayed recall</t>
  </si>
  <si>
    <t>DSF (Digit Span Forward)</t>
  </si>
  <si>
    <t>Attention / working memory</t>
  </si>
  <si>
    <t>Short-term auditory memory</t>
  </si>
  <si>
    <t>Verbal &amp; visual memory, working memory</t>
  </si>
  <si>
    <t>Short delay recall</t>
  </si>
  <si>
    <t>Long delay recall</t>
  </si>
  <si>
    <t>Semantic fluency</t>
  </si>
  <si>
    <t>Processing speed / attention</t>
  </si>
  <si>
    <t>Symbol substitution</t>
  </si>
  <si>
    <t>Attention / Processing speed</t>
  </si>
  <si>
    <t>Visual scanning</t>
  </si>
  <si>
    <t>Set-shifting</t>
  </si>
  <si>
    <t>Attention / inhibition</t>
  </si>
  <si>
    <t>Sustained / selective attention</t>
  </si>
  <si>
    <t>Accuracy: higher = better; errors: lower = better</t>
  </si>
  <si>
    <t>Sustained attention</t>
  </si>
  <si>
    <t>Decision-making / reward</t>
  </si>
  <si>
    <t>Risk-taking</t>
  </si>
  <si>
    <t>Higher = more risk-taking (context-dependent)</t>
  </si>
  <si>
    <t>Impulsivity / reward</t>
  </si>
  <si>
    <t>Delay discounting</t>
  </si>
  <si>
    <t>Lower k = better self-control</t>
  </si>
  <si>
    <t>Reward processing</t>
  </si>
  <si>
    <t>Motivation / reward anticipation</t>
  </si>
  <si>
    <t>Faster RT / higher reward response = better</t>
  </si>
  <si>
    <t>Risk/reward choices</t>
  </si>
  <si>
    <t>Higher = more risk-seeking</t>
  </si>
  <si>
    <t>Reward learning / affective cognition</t>
  </si>
  <si>
    <t>Emotional reinforcement learning</t>
  </si>
  <si>
    <t>Visual working memory</t>
  </si>
  <si>
    <t>Maintenance / manipulation</t>
  </si>
  <si>
    <t>Symbol-digit matching</t>
  </si>
  <si>
    <t>Serial addition</t>
  </si>
  <si>
    <t>Motor learning / attention</t>
  </si>
  <si>
    <t>Procedural / sequence learning</t>
  </si>
  <si>
    <t xml:space="preserve">Orientation, registration, attention, calculation, recall, language </t>
  </si>
  <si>
    <t>Cognitive  Domain</t>
  </si>
  <si>
    <t>Executive function, attention, memory, language, visuospatial skills, orientation</t>
  </si>
  <si>
    <t>Memory, language, praxis, orientation</t>
  </si>
  <si>
    <t>Verbal comprehension, perceptual reasoning, working memory, processing speed</t>
  </si>
  <si>
    <t>Memory, executive function, attention, motor speed</t>
  </si>
  <si>
    <t xml:space="preserve">Memory, attention, visuospatial, language </t>
  </si>
  <si>
    <t>memory, attention, processing speed, social cognition</t>
  </si>
  <si>
    <t>Copy, immediate recall, delayed recall</t>
  </si>
  <si>
    <t>Verbal working memory, Visuospatial working memory updating &amp; monitoring, executive function, attention</t>
  </si>
  <si>
    <t>Executive Function</t>
  </si>
  <si>
    <t>Visuospatial</t>
  </si>
  <si>
    <t>Attention</t>
  </si>
  <si>
    <t>Processing Speed</t>
  </si>
  <si>
    <t>Inhibition</t>
  </si>
  <si>
    <t>Decision making</t>
  </si>
  <si>
    <t>Orientation</t>
  </si>
  <si>
    <t>Verbal comprehension</t>
  </si>
  <si>
    <t>Perceptual reasoning</t>
  </si>
  <si>
    <t>Verbal fluency</t>
  </si>
  <si>
    <t xml:space="preserve">SWMT </t>
  </si>
  <si>
    <t>Planning</t>
  </si>
  <si>
    <t xml:space="preserve">Stroop </t>
  </si>
  <si>
    <t>CS 21</t>
  </si>
  <si>
    <t>Subjective Memory</t>
  </si>
  <si>
    <t>TMT A</t>
  </si>
  <si>
    <t>TMT B</t>
  </si>
  <si>
    <t>Total</t>
  </si>
  <si>
    <t>Sham tES + CTT</t>
  </si>
  <si>
    <t>1-DLPFC; F3 F4</t>
  </si>
  <si>
    <t>Fpz</t>
  </si>
  <si>
    <t>Fpz [half of sample], F3, Fp2 [half of sample]</t>
  </si>
  <si>
    <t>Sham</t>
  </si>
  <si>
    <t>Outcome_measure</t>
  </si>
  <si>
    <t>0,2</t>
  </si>
  <si>
    <t xml:space="preserve">This study did not see how tacs improves MoCA but rather uses MoCA as a measure of baseline cognitive status and examined how individuals with different cognitive levels responded physiologically to tACS. </t>
  </si>
  <si>
    <t>MoCA not primary outcome of study, used for initial assessment and to see if there was cognitive comobordities biasing the results</t>
  </si>
  <si>
    <t>Liu J</t>
  </si>
  <si>
    <t xml:space="preserve">Sham </t>
  </si>
  <si>
    <t>C3</t>
  </si>
  <si>
    <t>Right shoulder</t>
  </si>
  <si>
    <t>C4</t>
  </si>
  <si>
    <t>40 Hz</t>
  </si>
  <si>
    <t>RAVLT-IR</t>
  </si>
  <si>
    <t>RAVLT-DR</t>
  </si>
  <si>
    <t>RAVLT-RR</t>
  </si>
  <si>
    <t>Pz</t>
  </si>
  <si>
    <t>Right deltoid muscle</t>
  </si>
  <si>
    <t>0,1,2</t>
  </si>
  <si>
    <t>tRNS (active sham)</t>
  </si>
  <si>
    <t>0,2,8</t>
  </si>
  <si>
    <t>0, 2</t>
  </si>
  <si>
    <t>Alpha tACS</t>
  </si>
  <si>
    <t>Oz</t>
  </si>
  <si>
    <t>0, 1</t>
  </si>
  <si>
    <t xml:space="preserve">RNS </t>
  </si>
  <si>
    <t>tACS</t>
  </si>
  <si>
    <t>F3 [1], C3 [3], Cp5 [4], C4/Cp2 [1], C3/Cp5 [1], Cz-Fz [1], Cz-Pz [1], Cz [2], F4 [1]</t>
  </si>
  <si>
    <t>Ipsilateral mastoid</t>
  </si>
  <si>
    <t>0-99</t>
  </si>
  <si>
    <t>30 Hz [6], 4 Hz [11]</t>
  </si>
  <si>
    <t>30 Hz [11], 4 Hz [4]</t>
  </si>
  <si>
    <t>FC1 [1], FC5 [2], C3 [2], CP5 [3], Pz [1], F3 [1], C4 [5]</t>
  </si>
  <si>
    <t xml:space="preserve"> tACS</t>
  </si>
  <si>
    <t xml:space="preserve">0,2 </t>
  </si>
  <si>
    <t>T8, P8</t>
  </si>
  <si>
    <t>P7, T7</t>
  </si>
  <si>
    <t>10,10, 20</t>
  </si>
  <si>
    <t xml:space="preserve">4 x 4 </t>
  </si>
  <si>
    <t>4 x 4</t>
  </si>
  <si>
    <t>0, 2, 12</t>
  </si>
  <si>
    <t>Temporal lobes</t>
  </si>
  <si>
    <t xml:space="preserve"> tACS + CTT</t>
  </si>
  <si>
    <t xml:space="preserve"> tACS (3 montages combined)</t>
  </si>
  <si>
    <t>Mean change</t>
  </si>
  <si>
    <t>SD_change</t>
  </si>
  <si>
    <t>F3, F4 [half of sample]</t>
  </si>
  <si>
    <t>40 Hz Gamma tACS (home-based)</t>
  </si>
  <si>
    <t>F3</t>
  </si>
  <si>
    <t>Contralateral supraorbital area.</t>
  </si>
  <si>
    <t>0, 6</t>
  </si>
  <si>
    <t>40 Hz tACS</t>
  </si>
  <si>
    <t>Methods</t>
  </si>
  <si>
    <t>Participants</t>
  </si>
  <si>
    <t>Interventions</t>
  </si>
  <si>
    <t>Tang et al., 2024</t>
  </si>
  <si>
    <t>Intensity</t>
  </si>
  <si>
    <t>Parallel-group, double-blind RCT 1:1 computer-generated randomization; allocation concealed via sealed opaque envelopes; outcome assessprs blinded; follow-up 3 months; Xuanwu Hospital, Capital Medical University (China)</t>
  </si>
  <si>
    <t>Active: 40 Hz tACS, 15 mA,  60 min/session over 15 days (twice daily); hospital-based administration; Comparator: sham stimulation</t>
  </si>
  <si>
    <t>Trial Registration: NCT 03920826; funded by the National Natural Science Foundation of China</t>
  </si>
  <si>
    <t>Benussi et al., 2022</t>
  </si>
  <si>
    <t>Sham-controlled, double-blind crossover study; 1:1 computer-assisted block randomization; outcome assessors and participants blinded; Neurology Unit, Department of Clinical and
Experimental Sciences, University of Brescia (Italy)</t>
  </si>
  <si>
    <t>Active: 40 Hz tACS,3 mA,  single 60 min session; stimulation inverted after 1 week; Comparator: sham stimulation</t>
  </si>
  <si>
    <t>Cognitive Outcomes</t>
  </si>
  <si>
    <r>
      <rPr>
        <b/>
        <sz val="11"/>
        <color theme="1"/>
        <rFont val="Aptos Narrow"/>
        <family val="2"/>
        <scheme val="minor"/>
      </rPr>
      <t>Primary</t>
    </r>
    <r>
      <rPr>
        <sz val="11"/>
        <color theme="1"/>
        <rFont val="Aptos Narrow"/>
        <family val="2"/>
        <scheme val="minor"/>
      </rPr>
      <t xml:space="preserve">: RAVLT (Total Recall + DR)
</t>
    </r>
    <r>
      <rPr>
        <b/>
        <sz val="11"/>
        <color theme="1"/>
        <rFont val="Aptos Narrow"/>
        <family val="2"/>
        <scheme val="minor"/>
      </rPr>
      <t>Secondary:</t>
    </r>
    <r>
      <rPr>
        <sz val="11"/>
        <color theme="1"/>
        <rFont val="Aptos Narrow"/>
        <family val="2"/>
        <scheme val="minor"/>
      </rPr>
      <t xml:space="preserve"> FNAT</t>
    </r>
  </si>
  <si>
    <t>Trial Registration: NCT04842955;  Researchers have pending patent on the use of noninvasive
brain stimulation to increase memory functions in patients with AD.</t>
  </si>
  <si>
    <t>Benussi et al., 2021</t>
  </si>
  <si>
    <r>
      <rPr>
        <b/>
        <sz val="11"/>
        <color theme="1"/>
        <rFont val="Aptos Narrow"/>
        <family val="2"/>
        <scheme val="minor"/>
      </rPr>
      <t>Primary:</t>
    </r>
    <r>
      <rPr>
        <sz val="11"/>
        <color theme="1"/>
        <rFont val="Aptos Narrow"/>
        <family val="2"/>
        <scheme val="minor"/>
      </rPr>
      <t xml:space="preserve"> RAVLT (IR + DR), FNAT</t>
    </r>
  </si>
  <si>
    <t>Trial Registration: NCT04515433</t>
  </si>
  <si>
    <t>Benussi et al., 2024</t>
  </si>
  <si>
    <t xml:space="preserve">N = 60, mean age 72.3 ± 7 years; 51.7% female; AD diagnosis; mean disease duration 3.1 ± 2.4 years; CSF ≤ 600 ng/L and tau≥400 ng/L or positive PET scan; exclusion: history of TBI and medical illness other than AD </t>
  </si>
  <si>
    <t xml:space="preserve">N = 20, mean age 71.9 ± 7 years, 50% female; AD diagnosis, mean duration 33.6 ± 22.8 years; CSF ≤ 600 ng/L and tau≥400 ng/L or positive PET scan; exclusion: history of TBI and medical illness other than AD; </t>
  </si>
  <si>
    <t>Active: 12 Hz tACS,3 mA,  single 60 min session; stimulation inverted after 1 week; Comparator: sham stimulation</t>
  </si>
  <si>
    <t>Trial Registration: NCT05188105</t>
  </si>
  <si>
    <t>Ferrazzano et al., 2025</t>
  </si>
  <si>
    <t>Sham-controlled, double-blind crossover study; session order was pseudo-randomized; outcome assessors and participants blinded; MS Center, Department of Human Neurosciences, Sapienza University of Rome (Italy)</t>
  </si>
  <si>
    <t>N = 11, 81.8% female; MS patients with deficits in verbal memory (BRB-N criteria); exclusion: clinical relapse, medical and psychiatric conditions affecting adherence to study</t>
  </si>
  <si>
    <t>Active: 40 Hz tACS, 1.5 mA, single 30 min session; stimulation inverted after 1 week; Comparator: sham stimulation  of 7 seconds including 3-second ramp-up and ramp-down.</t>
  </si>
  <si>
    <r>
      <rPr>
        <b/>
        <sz val="11"/>
        <color theme="1"/>
        <rFont val="Aptos Narrow"/>
        <family val="2"/>
        <scheme val="minor"/>
      </rPr>
      <t>Primary:</t>
    </r>
    <r>
      <rPr>
        <sz val="11"/>
        <color theme="1"/>
        <rFont val="Aptos Narrow"/>
        <family val="2"/>
        <scheme val="minor"/>
      </rPr>
      <t xml:space="preserve"> Visual search tasks
</t>
    </r>
    <r>
      <rPr>
        <b/>
        <sz val="11"/>
        <color theme="1"/>
        <rFont val="Aptos Narrow"/>
        <family val="2"/>
        <scheme val="minor"/>
      </rPr>
      <t>Secondary:</t>
    </r>
    <r>
      <rPr>
        <sz val="11"/>
        <color theme="1"/>
        <rFont val="Aptos Narrow"/>
        <family val="2"/>
        <scheme val="minor"/>
      </rPr>
      <t xml:space="preserve"> RAVL (IR + DR), TMT-A, TMT-B, MMSE pentagon test, Clockman drawing test</t>
    </r>
  </si>
  <si>
    <r>
      <rPr>
        <b/>
        <sz val="11"/>
        <color theme="1"/>
        <rFont val="Aptos Narrow"/>
        <family val="2"/>
        <scheme val="minor"/>
      </rPr>
      <t>Primary:</t>
    </r>
    <r>
      <rPr>
        <sz val="11"/>
        <color theme="1"/>
        <rFont val="Aptos Narrow"/>
        <family val="2"/>
        <scheme val="minor"/>
      </rPr>
      <t xml:space="preserve"> RAVLT-IR
</t>
    </r>
  </si>
  <si>
    <t>Study grouped patients by cognitive deficits in WM, IPS and VM. Data synthesis focuses only on the VM group.</t>
  </si>
  <si>
    <t xml:space="preserve">Cantoni et al., </t>
  </si>
  <si>
    <t>Home-Based Gamma Transcranial Alternating Current Stimulation in Patients With Alzheimer Disease: A Randomized Clinical Trial</t>
  </si>
  <si>
    <t>Sham-controlled, double-blind cross-over study; 1:1 randomized allocation by single investigator; participants and outcome assessors blinded; Neurology Unit, Department of Clinical and
Experimental Sciences, University of Brescia (Italy)</t>
  </si>
  <si>
    <t>N = 14, mean age 73.1 ± 5.9 years, 50% female; AD diagnosis, mean duration 51.6 ± 27.6 years; CSF ≤ 600 ng/L and tau≥400 ng/L or positive PET scan; exclusion: history of TBI and medical illness other than AD</t>
  </si>
  <si>
    <t>N = 50 (26 active, 24 sham); mean age 66.4 ± 7.1 years; 50% female; AD diagnosis (CDI criteria); CSF ≤ 600 ng/L and tau≥400 ng/L or positive PET scan; exclusion: history of TBI, medical illness other than AD, absence of compliant caregiver</t>
  </si>
  <si>
    <r>
      <rPr>
        <b/>
        <sz val="11"/>
        <color theme="1"/>
        <rFont val="Aptos Narrow"/>
        <family val="2"/>
        <scheme val="minor"/>
      </rPr>
      <t>Primary</t>
    </r>
    <r>
      <rPr>
        <sz val="11"/>
        <color theme="1"/>
        <rFont val="Aptos Narrow"/>
        <family val="2"/>
        <scheme val="minor"/>
      </rPr>
      <t xml:space="preserve">: ADAS-Cog 11-item scale (baseline to post-intervention)
</t>
    </r>
    <r>
      <rPr>
        <b/>
        <sz val="11"/>
        <color theme="1"/>
        <rFont val="Aptos Narrow"/>
        <family val="2"/>
        <scheme val="minor"/>
      </rPr>
      <t>Secondary:</t>
    </r>
    <r>
      <rPr>
        <sz val="11"/>
        <color theme="1"/>
        <rFont val="Aptos Narrow"/>
        <family val="2"/>
        <scheme val="minor"/>
      </rPr>
      <t xml:space="preserve"> MoCA, RAVLT (IR, DR, RR)</t>
    </r>
  </si>
  <si>
    <r>
      <rPr>
        <b/>
        <sz val="11"/>
        <color theme="1"/>
        <rFont val="Aptos Narrow"/>
        <family val="2"/>
        <scheme val="minor"/>
      </rPr>
      <t xml:space="preserve"> Primary:</t>
    </r>
    <r>
      <rPr>
        <sz val="11"/>
        <color theme="1"/>
        <rFont val="Aptos Narrow"/>
        <family val="2"/>
        <scheme val="minor"/>
      </rPr>
      <t xml:space="preserve"> ADAS-Cog 13-item scale, RAVLT (IR + DR), CDR-SOB, 
</t>
    </r>
    <r>
      <rPr>
        <b/>
        <sz val="11"/>
        <color theme="1"/>
        <rFont val="Aptos Narrow"/>
        <family val="2"/>
        <scheme val="minor"/>
      </rPr>
      <t>Secondary:</t>
    </r>
    <r>
      <rPr>
        <sz val="11"/>
        <color theme="1"/>
        <rFont val="Aptos Narrow"/>
        <family val="2"/>
        <scheme val="minor"/>
      </rPr>
      <t xml:space="preserve"> ADCS-ADL, Semantic fluency, TMT-A, TMT-B, NPI</t>
    </r>
  </si>
  <si>
    <t xml:space="preserve">Trial Registration: NCT05643326; study had two phases (randomized, double-blind phase and open-label phase). For meta-analysis, we are only extracting data from the blinded phase and thus the study is treated as a parallel-group study. </t>
  </si>
  <si>
    <t>Zhou et al., 2022</t>
  </si>
  <si>
    <t>N = 46 (23 active, 23 sham); mean age 68.57 ± 5.21 years (active), mean age 683.7 ± 6.05 years (sham) ; 65% female; mild AD (NIA-AA criteria); stable cholinesterase inhibitors &gt; 6 weeks; exclusion: major psychiatric and medical illness, epilepsy</t>
  </si>
  <si>
    <t>N = 50 (23 active, 27 sham); mean age 76.95 ± 1.28 years (active), mean age 75.78 ± 1.26 years (sham); 72% female; AD patients; no iinformation on inclusion/exclusion criteria</t>
  </si>
  <si>
    <t>Active: 40 Hz tACS, 3 mA, 60 min/session, 5 days/week for 8 weeks; Home based tACS; Comparator: sham stimulation</t>
  </si>
  <si>
    <t>Active: 40 Hz tACS, 2 mA, 20 min/session daily for 6 weeks; Bilateral tACS over the temporal lobes; Comparator: sham stimulation</t>
  </si>
  <si>
    <t>Parallel-group, double-blind RCT; 1:1 SPSS generated randomization; participants, operators and outcome assessors blinded; follow-up 12 weeks; patient center in China</t>
  </si>
  <si>
    <t>ADAS-cog 11-item</t>
  </si>
  <si>
    <t xml:space="preserve">ADAS-cog 13-item </t>
  </si>
  <si>
    <r>
      <rPr>
        <b/>
        <sz val="11"/>
        <color theme="1"/>
        <rFont val="Aptos Narrow"/>
        <family val="2"/>
        <scheme val="minor"/>
      </rPr>
      <t>Primary:</t>
    </r>
    <r>
      <rPr>
        <sz val="11"/>
        <color theme="1"/>
        <rFont val="Aptos Narrow"/>
        <family val="2"/>
        <scheme val="minor"/>
      </rPr>
      <t xml:space="preserve"> ADAS-Cog, MMSE</t>
    </r>
  </si>
  <si>
    <t>No access to direct article or supplementary materials.</t>
  </si>
  <si>
    <t>Uehara et al., 2025</t>
  </si>
  <si>
    <t>Sham-controlled, double-blind cross-over study; 1:1 randomized allocation by PROC PLAN; follow-up 12 weeks; participants and outcome assessors blinded; Riverview Health Centre (Canada)</t>
  </si>
  <si>
    <t>N = 42; Participants with dementia, MoCA score between 5 and 25, stable medication; exclusion: diagnosis of neurocognitive disorder like PD and epilepsy</t>
  </si>
  <si>
    <r>
      <rPr>
        <b/>
        <sz val="11"/>
        <color theme="1"/>
        <rFont val="Aptos Narrow"/>
        <family val="2"/>
        <scheme val="minor"/>
      </rPr>
      <t>Primary</t>
    </r>
    <r>
      <rPr>
        <sz val="11"/>
        <color theme="1"/>
        <rFont val="Aptos Narrow"/>
        <family val="2"/>
        <scheme val="minor"/>
      </rPr>
      <t xml:space="preserve">: ADAS-Cog
</t>
    </r>
    <r>
      <rPr>
        <b/>
        <sz val="11"/>
        <color theme="1"/>
        <rFont val="Aptos Narrow"/>
        <family val="2"/>
        <scheme val="minor"/>
      </rPr>
      <t>Secondary:</t>
    </r>
    <r>
      <rPr>
        <sz val="11"/>
        <color theme="1"/>
        <rFont val="Aptos Narrow"/>
        <family val="2"/>
        <scheme val="minor"/>
      </rPr>
      <t xml:space="preserve"> NPI-Q, MADRS</t>
    </r>
  </si>
  <si>
    <t>Patient characetristics are reported by treatment sequence and not by treatment assignment.</t>
  </si>
  <si>
    <t>Salgado et al., 2025</t>
  </si>
  <si>
    <t xml:space="preserve">Active: 40 Hz tACS + CT, 1.5 mA, two 30-minute sessions/day, 5 days/week for 4 weeks; stimulation inverted after 8 weeks; Comparator: sham stimulation  </t>
  </si>
  <si>
    <t>DelFelice et al., 2019</t>
  </si>
  <si>
    <t>Sham-controlled, double-blind cross-over study; 1:1 computer-generated randomization; follow-up 4 weeks; participants and outcome assessors blinded; Riverview Health Centre (Canada)</t>
  </si>
  <si>
    <t>N = 15, mean age 69 ± 6.3 years, 40% female; idiopathic PD diagnosis, disease mean duration 6.3 ± 6.8 years; stable dose of antiparkinsonian therapy for at least 4 weeks; off-medication motor Hoen and Yahr 1–2; exclusion: psychiatric disorder; benzodiazepine treatment and MMSE&lt;23</t>
  </si>
  <si>
    <t>Active: 30 Hz tACS (N = 6), 4 Hz (N = 11), 2 mA, 30 min/session, 10 sessions total; stimulation inverted after 4 weeks; Comparator: sham stimulation</t>
  </si>
  <si>
    <r>
      <rPr>
        <b/>
        <sz val="11"/>
        <color theme="1"/>
        <rFont val="Aptos Narrow"/>
        <family val="2"/>
        <scheme val="minor"/>
      </rPr>
      <t>Primary:</t>
    </r>
    <r>
      <rPr>
        <sz val="11"/>
        <color theme="1"/>
        <rFont val="Aptos Narrow"/>
        <family val="2"/>
        <scheme val="minor"/>
      </rPr>
      <t xml:space="preserve"> MoCA
</t>
    </r>
    <r>
      <rPr>
        <b/>
        <sz val="11"/>
        <color theme="1"/>
        <rFont val="Aptos Narrow"/>
        <family val="2"/>
        <scheme val="minor"/>
      </rPr>
      <t>Secondary:</t>
    </r>
    <r>
      <rPr>
        <sz val="11"/>
        <color theme="1"/>
        <rFont val="Aptos Narrow"/>
        <family val="2"/>
        <scheme val="minor"/>
      </rPr>
      <t xml:space="preserve"> TIB, TMT-A, TMT-B, ROCF, Digit Symbol Task, Verbal fluency, Hopkins Verbal Learning Test-Revised </t>
    </r>
  </si>
  <si>
    <t>Trial Registration: NCT03221413, Personalized tACS</t>
  </si>
  <si>
    <r>
      <rPr>
        <b/>
        <sz val="11"/>
        <color theme="1"/>
        <rFont val="Aptos Narrow"/>
        <family val="2"/>
        <scheme val="minor"/>
      </rPr>
      <t>Primary:</t>
    </r>
    <r>
      <rPr>
        <sz val="11"/>
        <color theme="1"/>
        <rFont val="Aptos Narrow"/>
        <family val="2"/>
        <scheme val="minor"/>
      </rPr>
      <t xml:space="preserve"> BDI
</t>
    </r>
    <r>
      <rPr>
        <b/>
        <sz val="11"/>
        <color theme="1"/>
        <rFont val="Aptos Narrow"/>
        <family val="2"/>
        <scheme val="minor"/>
      </rPr>
      <t>Secondary:</t>
    </r>
    <r>
      <rPr>
        <sz val="11"/>
        <color theme="1"/>
        <rFont val="Aptos Narrow"/>
        <family val="2"/>
        <scheme val="minor"/>
      </rPr>
      <t xml:space="preserve"> MoCA, PROMIS</t>
    </r>
  </si>
  <si>
    <t>Parallel-group, double-blind RCT; no information on randomization allocation; participants, operators and outcome assessors blinded</t>
  </si>
  <si>
    <t>No information on sample size; patients with breast cancer diagnosis and who are done or nearly done with treatment; exclusion: Psychiatric illness, sensitive populations (pregnant, history of dementia, epilepsy, etc)</t>
  </si>
  <si>
    <t>Active: 4 Hz tACS, 2 mA, 20 min/session, 15 sessions total; Comparator: sham stimulation</t>
  </si>
  <si>
    <t>Trial Registration: NCT06053775; Study also includes tDCS and OCT (online cognitive training group) but will not be included in meta-analysis</t>
  </si>
  <si>
    <t>≥ 2mA</t>
  </si>
  <si>
    <t>N Sessions</t>
  </si>
  <si>
    <t>≥10</t>
  </si>
  <si>
    <t>≥20 minutes</t>
  </si>
  <si>
    <t>Duration/session</t>
  </si>
  <si>
    <t>RAVL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</si>
</sst>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262626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sz val="11"/>
      <color rgb="FF262626"/>
      <name val="Aptos Narrow"/>
      <family val="2"/>
    </font>
    <font>
      <sz val="11"/>
      <name val="Aptos Narrow"/>
      <family val="2"/>
      <scheme val="minor"/>
    </font>
    <font>
      <sz val="11"/>
      <color rgb="FF262626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262626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C00000"/>
      <name val="Aptos Narrow"/>
      <family val="2"/>
      <scheme val="minor"/>
    </font>
    <font>
      <sz val="7"/>
      <color rgb="FF000000"/>
      <name val="Arial"/>
      <family val="2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  <font>
      <sz val="9"/>
      <color rgb="FF000000"/>
      <name val="Arial"/>
      <family val="2"/>
    </font>
    <font>
      <b/>
      <sz val="1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D0E0E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252">
    <xf numFmtId="0" fontId="0" fillId="0" borderId="0" xfId="0"/>
    <xf numFmtId="0" fontId="16" fillId="0" borderId="0" xfId="0" applyFont="1" applyAlignment="1">
      <alignment horizontal="left" vertical="center"/>
    </xf>
    <xf numFmtId="0" fontId="17" fillId="0" borderId="0" xfId="0" applyFont="1"/>
    <xf numFmtId="0" fontId="18" fillId="0" borderId="0" xfId="0" applyFont="1" applyAlignment="1">
      <alignment horizontal="right"/>
    </xf>
    <xf numFmtId="0" fontId="19" fillId="0" borderId="0" xfId="0" applyFont="1"/>
    <xf numFmtId="0" fontId="17" fillId="4" borderId="0" xfId="0" applyFont="1" applyFill="1"/>
    <xf numFmtId="0" fontId="18" fillId="4" borderId="0" xfId="0" applyFont="1" applyFill="1" applyAlignment="1">
      <alignment horizontal="right"/>
    </xf>
    <xf numFmtId="0" fontId="16" fillId="2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18" fillId="5" borderId="1" xfId="0" applyFont="1" applyFill="1" applyBorder="1"/>
    <xf numFmtId="0" fontId="18" fillId="3" borderId="1" xfId="0" applyFont="1" applyFill="1" applyBorder="1"/>
    <xf numFmtId="0" fontId="18" fillId="6" borderId="1" xfId="0" applyFont="1" applyFill="1" applyBorder="1"/>
    <xf numFmtId="0" fontId="0" fillId="0" borderId="0" xfId="0" applyAlignment="1">
      <alignment horizontal="fill"/>
    </xf>
    <xf numFmtId="0" fontId="15" fillId="0" borderId="0" xfId="0" applyFont="1" applyAlignment="1">
      <alignment horizontal="fill"/>
    </xf>
    <xf numFmtId="0" fontId="15" fillId="0" borderId="0" xfId="0" applyFont="1"/>
    <xf numFmtId="0" fontId="17" fillId="0" borderId="2" xfId="0" applyFont="1" applyBorder="1"/>
    <xf numFmtId="0" fontId="0" fillId="0" borderId="2" xfId="0" applyBorder="1"/>
    <xf numFmtId="0" fontId="15" fillId="0" borderId="2" xfId="0" applyFont="1" applyBorder="1"/>
    <xf numFmtId="0" fontId="18" fillId="0" borderId="2" xfId="0" applyFont="1" applyBorder="1" applyAlignment="1">
      <alignment horizontal="right"/>
    </xf>
    <xf numFmtId="0" fontId="15" fillId="0" borderId="2" xfId="0" applyFont="1" applyBorder="1" applyAlignment="1">
      <alignment horizontal="fill"/>
    </xf>
    <xf numFmtId="0" fontId="0" fillId="0" borderId="1" xfId="0" applyBorder="1"/>
    <xf numFmtId="0" fontId="23" fillId="0" borderId="0" xfId="0" applyFont="1"/>
    <xf numFmtId="0" fontId="15" fillId="0" borderId="1" xfId="0" applyFont="1" applyBorder="1"/>
    <xf numFmtId="0" fontId="22" fillId="0" borderId="0" xfId="0" applyFont="1"/>
    <xf numFmtId="0" fontId="22" fillId="0" borderId="2" xfId="0" applyFont="1" applyBorder="1"/>
    <xf numFmtId="0" fontId="23" fillId="0" borderId="2" xfId="0" applyFont="1" applyBorder="1"/>
    <xf numFmtId="0" fontId="24" fillId="0" borderId="0" xfId="0" applyFont="1"/>
    <xf numFmtId="0" fontId="24" fillId="0" borderId="2" xfId="0" applyFont="1" applyBorder="1"/>
    <xf numFmtId="0" fontId="21" fillId="0" borderId="0" xfId="0" applyFont="1" applyAlignment="1">
      <alignment horizontal="fill"/>
    </xf>
    <xf numFmtId="0" fontId="21" fillId="0" borderId="2" xfId="0" applyFont="1" applyBorder="1" applyAlignment="1">
      <alignment horizontal="fill"/>
    </xf>
    <xf numFmtId="0" fontId="14" fillId="0" borderId="0" xfId="0" applyFont="1" applyAlignment="1">
      <alignment horizontal="fill"/>
    </xf>
    <xf numFmtId="0" fontId="14" fillId="0" borderId="1" xfId="0" applyFont="1" applyBorder="1"/>
    <xf numFmtId="0" fontId="19" fillId="0" borderId="2" xfId="0" applyFont="1" applyBorder="1"/>
    <xf numFmtId="0" fontId="0" fillId="0" borderId="2" xfId="0" applyBorder="1" applyAlignment="1">
      <alignment horizontal="fill"/>
    </xf>
    <xf numFmtId="0" fontId="14" fillId="0" borderId="2" xfId="0" applyFont="1" applyBorder="1"/>
    <xf numFmtId="0" fontId="0" fillId="0" borderId="1" xfId="0" applyBorder="1" applyAlignment="1">
      <alignment horizontal="fill"/>
    </xf>
    <xf numFmtId="0" fontId="17" fillId="0" borderId="1" xfId="0" applyFont="1" applyBorder="1"/>
    <xf numFmtId="0" fontId="19" fillId="0" borderId="1" xfId="0" applyFont="1" applyBorder="1"/>
    <xf numFmtId="0" fontId="18" fillId="0" borderId="1" xfId="0" applyFont="1" applyBorder="1" applyAlignment="1">
      <alignment horizontal="right"/>
    </xf>
    <xf numFmtId="0" fontId="13" fillId="0" borderId="0" xfId="0" applyFont="1"/>
    <xf numFmtId="0" fontId="21" fillId="0" borderId="0" xfId="0" applyFont="1"/>
    <xf numFmtId="0" fontId="13" fillId="0" borderId="0" xfId="0" applyFont="1" applyAlignment="1">
      <alignment horizontal="fill"/>
    </xf>
    <xf numFmtId="0" fontId="13" fillId="0" borderId="0" xfId="0" applyFont="1" applyAlignment="1">
      <alignment horizontal="right"/>
    </xf>
    <xf numFmtId="0" fontId="13" fillId="0" borderId="1" xfId="0" applyFont="1" applyBorder="1" applyAlignment="1">
      <alignment horizontal="fill"/>
    </xf>
    <xf numFmtId="0" fontId="24" fillId="0" borderId="1" xfId="0" applyFont="1" applyBorder="1"/>
    <xf numFmtId="0" fontId="15" fillId="0" borderId="1" xfId="0" applyFont="1" applyBorder="1" applyAlignment="1">
      <alignment horizontal="fill"/>
    </xf>
    <xf numFmtId="0" fontId="13" fillId="0" borderId="2" xfId="0" applyFont="1" applyBorder="1" applyAlignment="1">
      <alignment horizontal="fill"/>
    </xf>
    <xf numFmtId="0" fontId="14" fillId="0" borderId="2" xfId="0" applyFont="1" applyBorder="1" applyAlignment="1">
      <alignment horizontal="right"/>
    </xf>
    <xf numFmtId="0" fontId="13" fillId="0" borderId="2" xfId="0" applyFont="1" applyBorder="1"/>
    <xf numFmtId="0" fontId="22" fillId="0" borderId="0" xfId="0" applyFont="1" applyAlignment="1">
      <alignment horizontal="right"/>
    </xf>
    <xf numFmtId="0" fontId="25" fillId="0" borderId="2" xfId="0" applyFont="1" applyBorder="1" applyAlignment="1">
      <alignment horizontal="fill"/>
    </xf>
    <xf numFmtId="0" fontId="22" fillId="0" borderId="2" xfId="0" applyFont="1" applyBorder="1" applyAlignment="1">
      <alignment horizontal="right"/>
    </xf>
    <xf numFmtId="0" fontId="13" fillId="0" borderId="1" xfId="0" applyFont="1" applyBorder="1"/>
    <xf numFmtId="0" fontId="13" fillId="0" borderId="1" xfId="0" applyFont="1" applyBorder="1" applyAlignment="1">
      <alignment horizontal="right"/>
    </xf>
    <xf numFmtId="0" fontId="12" fillId="7" borderId="3" xfId="0" applyFont="1" applyFill="1" applyBorder="1" applyAlignment="1">
      <alignment vertical="center" wrapText="1"/>
    </xf>
    <xf numFmtId="0" fontId="26" fillId="7" borderId="3" xfId="0" applyFont="1" applyFill="1" applyBorder="1" applyAlignment="1">
      <alignment vertical="center" wrapText="1"/>
    </xf>
    <xf numFmtId="0" fontId="27" fillId="7" borderId="3" xfId="0" applyFont="1" applyFill="1" applyBorder="1" applyAlignment="1">
      <alignment vertical="center" wrapText="1"/>
    </xf>
    <xf numFmtId="0" fontId="12" fillId="0" borderId="0" xfId="0" applyFont="1"/>
    <xf numFmtId="0" fontId="12" fillId="7" borderId="4" xfId="0" applyFont="1" applyFill="1" applyBorder="1" applyAlignment="1">
      <alignment vertical="center" wrapText="1"/>
    </xf>
    <xf numFmtId="0" fontId="27" fillId="7" borderId="4" xfId="0" applyFont="1" applyFill="1" applyBorder="1" applyAlignment="1">
      <alignment vertical="center" wrapText="1"/>
    </xf>
    <xf numFmtId="0" fontId="12" fillId="0" borderId="1" xfId="0" applyFont="1" applyBorder="1"/>
    <xf numFmtId="0" fontId="12" fillId="7" borderId="5" xfId="0" applyFont="1" applyFill="1" applyBorder="1" applyAlignment="1">
      <alignment vertical="center" wrapText="1"/>
    </xf>
    <xf numFmtId="0" fontId="26" fillId="7" borderId="5" xfId="0" applyFont="1" applyFill="1" applyBorder="1" applyAlignment="1">
      <alignment vertical="center" wrapText="1"/>
    </xf>
    <xf numFmtId="0" fontId="27" fillId="7" borderId="5" xfId="0" applyFont="1" applyFill="1" applyBorder="1" applyAlignment="1">
      <alignment vertical="center" wrapText="1"/>
    </xf>
    <xf numFmtId="0" fontId="0" fillId="0" borderId="6" xfId="0" applyBorder="1"/>
    <xf numFmtId="0" fontId="12" fillId="0" borderId="6" xfId="0" applyFont="1" applyBorder="1"/>
    <xf numFmtId="0" fontId="12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26" fillId="0" borderId="6" xfId="0" applyFont="1" applyBorder="1" applyAlignment="1">
      <alignment vertical="center" wrapText="1"/>
    </xf>
    <xf numFmtId="0" fontId="27" fillId="0" borderId="6" xfId="0" applyFont="1" applyBorder="1" applyAlignment="1">
      <alignment vertical="center" wrapText="1"/>
    </xf>
    <xf numFmtId="0" fontId="12" fillId="0" borderId="0" xfId="0" applyFont="1" applyAlignment="1">
      <alignment horizontal="fill"/>
    </xf>
    <xf numFmtId="0" fontId="12" fillId="7" borderId="7" xfId="0" applyFont="1" applyFill="1" applyBorder="1" applyAlignment="1">
      <alignment vertical="center" wrapText="1"/>
    </xf>
    <xf numFmtId="0" fontId="26" fillId="7" borderId="7" xfId="0" applyFont="1" applyFill="1" applyBorder="1" applyAlignment="1">
      <alignment vertical="center" wrapText="1"/>
    </xf>
    <xf numFmtId="0" fontId="27" fillId="7" borderId="7" xfId="0" applyFont="1" applyFill="1" applyBorder="1" applyAlignment="1">
      <alignment vertical="center" wrapText="1"/>
    </xf>
    <xf numFmtId="0" fontId="12" fillId="7" borderId="8" xfId="0" applyFont="1" applyFill="1" applyBorder="1" applyAlignment="1">
      <alignment vertical="center" wrapText="1"/>
    </xf>
    <xf numFmtId="0" fontId="26" fillId="7" borderId="8" xfId="0" applyFont="1" applyFill="1" applyBorder="1" applyAlignment="1">
      <alignment vertical="center" wrapText="1"/>
    </xf>
    <xf numFmtId="0" fontId="27" fillId="7" borderId="8" xfId="0" applyFont="1" applyFill="1" applyBorder="1" applyAlignment="1">
      <alignment vertical="center" wrapText="1"/>
    </xf>
    <xf numFmtId="0" fontId="12" fillId="0" borderId="0" xfId="0" applyFont="1" applyAlignment="1">
      <alignment horizontal="right"/>
    </xf>
    <xf numFmtId="0" fontId="12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2" fillId="0" borderId="1" xfId="0" applyFont="1" applyBorder="1" applyAlignment="1">
      <alignment horizontal="fill"/>
    </xf>
    <xf numFmtId="0" fontId="12" fillId="0" borderId="6" xfId="0" applyFont="1" applyBorder="1" applyAlignment="1">
      <alignment horizontal="fill"/>
    </xf>
    <xf numFmtId="0" fontId="12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vertical="center" wrapText="1"/>
    </xf>
    <xf numFmtId="0" fontId="27" fillId="7" borderId="1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vertical="center" wrapText="1"/>
    </xf>
    <xf numFmtId="0" fontId="26" fillId="7" borderId="6" xfId="0" applyFont="1" applyFill="1" applyBorder="1" applyAlignment="1">
      <alignment vertical="center" wrapText="1"/>
    </xf>
    <xf numFmtId="0" fontId="27" fillId="7" borderId="6" xfId="0" applyFont="1" applyFill="1" applyBorder="1" applyAlignment="1">
      <alignment vertical="center" wrapText="1"/>
    </xf>
    <xf numFmtId="0" fontId="13" fillId="0" borderId="6" xfId="0" applyFont="1" applyBorder="1"/>
    <xf numFmtId="0" fontId="18" fillId="0" borderId="6" xfId="0" applyFont="1" applyBorder="1" applyAlignment="1">
      <alignment horizontal="right"/>
    </xf>
    <xf numFmtId="0" fontId="13" fillId="0" borderId="6" xfId="0" applyFont="1" applyBorder="1" applyAlignment="1">
      <alignment horizontal="fill"/>
    </xf>
    <xf numFmtId="0" fontId="12" fillId="7" borderId="9" xfId="0" applyFont="1" applyFill="1" applyBorder="1" applyAlignment="1">
      <alignment vertical="center" wrapText="1"/>
    </xf>
    <xf numFmtId="0" fontId="27" fillId="7" borderId="9" xfId="0" applyFont="1" applyFill="1" applyBorder="1" applyAlignment="1">
      <alignment vertical="center" wrapText="1"/>
    </xf>
    <xf numFmtId="0" fontId="12" fillId="7" borderId="10" xfId="0" applyFont="1" applyFill="1" applyBorder="1" applyAlignment="1">
      <alignment vertical="center" wrapText="1"/>
    </xf>
    <xf numFmtId="0" fontId="28" fillId="7" borderId="10" xfId="1" applyFill="1" applyBorder="1" applyAlignment="1">
      <alignment vertical="center" wrapText="1"/>
    </xf>
    <xf numFmtId="0" fontId="26" fillId="7" borderId="10" xfId="0" applyFont="1" applyFill="1" applyBorder="1" applyAlignment="1">
      <alignment vertical="center" wrapText="1"/>
    </xf>
    <xf numFmtId="0" fontId="27" fillId="7" borderId="10" xfId="0" applyFont="1" applyFill="1" applyBorder="1" applyAlignment="1">
      <alignment vertical="center" wrapText="1"/>
    </xf>
    <xf numFmtId="0" fontId="0" fillId="0" borderId="11" xfId="0" applyBorder="1"/>
    <xf numFmtId="0" fontId="12" fillId="0" borderId="11" xfId="0" applyFont="1" applyBorder="1"/>
    <xf numFmtId="0" fontId="29" fillId="0" borderId="1" xfId="0" applyFont="1" applyBorder="1" applyAlignment="1">
      <alignment vertical="center" wrapText="1"/>
    </xf>
    <xf numFmtId="0" fontId="17" fillId="0" borderId="6" xfId="0" applyFont="1" applyBorder="1"/>
    <xf numFmtId="0" fontId="21" fillId="0" borderId="6" xfId="0" applyFont="1" applyBorder="1" applyAlignment="1">
      <alignment horizontal="fill"/>
    </xf>
    <xf numFmtId="0" fontId="13" fillId="0" borderId="6" xfId="0" applyFont="1" applyBorder="1" applyAlignment="1">
      <alignment horizontal="right"/>
    </xf>
    <xf numFmtId="0" fontId="25" fillId="0" borderId="1" xfId="0" applyFont="1" applyBorder="1" applyAlignment="1">
      <alignment horizontal="fill"/>
    </xf>
    <xf numFmtId="0" fontId="25" fillId="0" borderId="1" xfId="0" applyFont="1" applyBorder="1"/>
    <xf numFmtId="0" fontId="29" fillId="0" borderId="6" xfId="0" applyFont="1" applyBorder="1" applyAlignment="1">
      <alignment vertical="center" wrapText="1"/>
    </xf>
    <xf numFmtId="0" fontId="25" fillId="0" borderId="6" xfId="0" applyFont="1" applyBorder="1" applyAlignment="1">
      <alignment horizontal="fill"/>
    </xf>
    <xf numFmtId="0" fontId="11" fillId="0" borderId="0" xfId="0" applyFont="1"/>
    <xf numFmtId="0" fontId="0" fillId="0" borderId="0" xfId="0" applyAlignment="1">
      <alignment horizontal="center"/>
    </xf>
    <xf numFmtId="0" fontId="32" fillId="8" borderId="0" xfId="0" applyFont="1" applyFill="1"/>
    <xf numFmtId="0" fontId="17" fillId="9" borderId="0" xfId="0" applyFont="1" applyFill="1"/>
    <xf numFmtId="0" fontId="22" fillId="9" borderId="0" xfId="0" applyFont="1" applyFill="1"/>
    <xf numFmtId="0" fontId="18" fillId="9" borderId="0" xfId="0" applyFont="1" applyFill="1" applyAlignment="1">
      <alignment horizontal="right"/>
    </xf>
    <xf numFmtId="0" fontId="11" fillId="9" borderId="0" xfId="0" applyFont="1" applyFill="1" applyAlignment="1">
      <alignment horizontal="center" vertical="center"/>
    </xf>
    <xf numFmtId="0" fontId="11" fillId="9" borderId="0" xfId="0" applyFont="1" applyFill="1"/>
    <xf numFmtId="0" fontId="32" fillId="10" borderId="0" xfId="0" applyFont="1" applyFill="1"/>
    <xf numFmtId="0" fontId="32" fillId="11" borderId="0" xfId="0" applyFont="1" applyFill="1"/>
    <xf numFmtId="0" fontId="11" fillId="0" borderId="0" xfId="0" applyFont="1" applyAlignment="1">
      <alignment horizontal="right"/>
    </xf>
    <xf numFmtId="0" fontId="24" fillId="9" borderId="0" xfId="0" applyFont="1" applyFill="1"/>
    <xf numFmtId="0" fontId="0" fillId="9" borderId="0" xfId="0" applyFill="1"/>
    <xf numFmtId="0" fontId="35" fillId="9" borderId="0" xfId="0" applyFont="1" applyFill="1"/>
    <xf numFmtId="0" fontId="11" fillId="9" borderId="0" xfId="0" applyFont="1" applyFill="1" applyAlignment="1">
      <alignment horizontal="center"/>
    </xf>
    <xf numFmtId="0" fontId="17" fillId="9" borderId="1" xfId="0" applyFont="1" applyFill="1" applyBorder="1"/>
    <xf numFmtId="0" fontId="24" fillId="9" borderId="1" xfId="0" applyFont="1" applyFill="1" applyBorder="1"/>
    <xf numFmtId="0" fontId="18" fillId="9" borderId="1" xfId="0" applyFont="1" applyFill="1" applyBorder="1" applyAlignment="1">
      <alignment horizontal="right"/>
    </xf>
    <xf numFmtId="0" fontId="11" fillId="9" borderId="1" xfId="0" applyFont="1" applyFill="1" applyBorder="1"/>
    <xf numFmtId="0" fontId="13" fillId="9" borderId="0" xfId="0" applyFont="1" applyFill="1"/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26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32" fillId="9" borderId="0" xfId="0" applyFont="1" applyFill="1"/>
    <xf numFmtId="0" fontId="11" fillId="9" borderId="3" xfId="0" applyFont="1" applyFill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32" fillId="14" borderId="0" xfId="0" applyFont="1" applyFill="1" applyAlignment="1">
      <alignment horizontal="center" vertical="center" wrapText="1"/>
    </xf>
    <xf numFmtId="0" fontId="32" fillId="12" borderId="0" xfId="0" applyFont="1" applyFill="1" applyAlignment="1">
      <alignment horizontal="center" vertical="center" wrapText="1"/>
    </xf>
    <xf numFmtId="0" fontId="32" fillId="12" borderId="0" xfId="0" applyFont="1" applyFill="1" applyAlignment="1">
      <alignment vertical="center"/>
    </xf>
    <xf numFmtId="0" fontId="32" fillId="12" borderId="0" xfId="0" applyFont="1" applyFill="1" applyAlignment="1">
      <alignment vertical="center" wrapText="1"/>
    </xf>
    <xf numFmtId="0" fontId="32" fillId="0" borderId="11" xfId="0" applyFont="1" applyBorder="1"/>
    <xf numFmtId="0" fontId="32" fillId="0" borderId="0" xfId="0" applyFont="1" applyAlignment="1">
      <alignment horizontal="left"/>
    </xf>
    <xf numFmtId="0" fontId="10" fillId="9" borderId="0" xfId="0" applyFont="1" applyFill="1"/>
    <xf numFmtId="0" fontId="21" fillId="9" borderId="0" xfId="0" applyFont="1" applyFill="1" applyAlignment="1">
      <alignment horizontal="center" vertical="center"/>
    </xf>
    <xf numFmtId="0" fontId="36" fillId="0" borderId="1" xfId="0" applyFont="1" applyBorder="1" applyAlignment="1">
      <alignment horizontal="left" vertical="center" wrapText="1" indent="1"/>
    </xf>
    <xf numFmtId="0" fontId="37" fillId="3" borderId="1" xfId="0" applyFont="1" applyFill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11" fillId="15" borderId="0" xfId="0" applyFont="1" applyFill="1"/>
    <xf numFmtId="0" fontId="0" fillId="15" borderId="0" xfId="0" applyFill="1"/>
    <xf numFmtId="0" fontId="13" fillId="15" borderId="0" xfId="0" applyFont="1" applyFill="1"/>
    <xf numFmtId="0" fontId="18" fillId="15" borderId="0" xfId="0" applyFont="1" applyFill="1" applyAlignment="1">
      <alignment horizontal="right"/>
    </xf>
    <xf numFmtId="0" fontId="11" fillId="15" borderId="0" xfId="0" applyFont="1" applyFill="1" applyAlignment="1">
      <alignment horizontal="center"/>
    </xf>
    <xf numFmtId="0" fontId="11" fillId="15" borderId="0" xfId="0" applyFont="1" applyFill="1" applyAlignment="1">
      <alignment horizontal="center" vertical="center"/>
    </xf>
    <xf numFmtId="0" fontId="10" fillId="15" borderId="0" xfId="0" applyFont="1" applyFill="1"/>
    <xf numFmtId="0" fontId="19" fillId="15" borderId="0" xfId="0" applyFont="1" applyFill="1"/>
    <xf numFmtId="0" fontId="17" fillId="15" borderId="0" xfId="0" applyFont="1" applyFill="1"/>
    <xf numFmtId="0" fontId="15" fillId="15" borderId="0" xfId="0" applyFont="1" applyFill="1"/>
    <xf numFmtId="0" fontId="24" fillId="15" borderId="0" xfId="0" applyFont="1" applyFill="1"/>
    <xf numFmtId="0" fontId="17" fillId="11" borderId="0" xfId="0" applyFont="1" applyFill="1"/>
    <xf numFmtId="0" fontId="24" fillId="11" borderId="0" xfId="0" applyFont="1" applyFill="1"/>
    <xf numFmtId="0" fontId="18" fillId="11" borderId="0" xfId="0" applyFont="1" applyFill="1" applyAlignment="1">
      <alignment horizontal="right"/>
    </xf>
    <xf numFmtId="0" fontId="0" fillId="11" borderId="0" xfId="0" applyFill="1"/>
    <xf numFmtId="0" fontId="8" fillId="11" borderId="0" xfId="0" applyFont="1" applyFill="1"/>
    <xf numFmtId="0" fontId="6" fillId="11" borderId="0" xfId="0" applyFont="1" applyFill="1"/>
    <xf numFmtId="0" fontId="11" fillId="11" borderId="0" xfId="0" applyFont="1" applyFill="1"/>
    <xf numFmtId="0" fontId="21" fillId="11" borderId="0" xfId="0" applyFont="1" applyFill="1"/>
    <xf numFmtId="0" fontId="22" fillId="11" borderId="0" xfId="0" applyFont="1" applyFill="1"/>
    <xf numFmtId="0" fontId="13" fillId="11" borderId="0" xfId="0" applyFont="1" applyFill="1"/>
    <xf numFmtId="0" fontId="10" fillId="11" borderId="0" xfId="0" applyFont="1" applyFill="1"/>
    <xf numFmtId="0" fontId="11" fillId="15" borderId="0" xfId="0" applyFont="1" applyFill="1" applyAlignment="1">
      <alignment horizontal="right"/>
    </xf>
    <xf numFmtId="0" fontId="11" fillId="15" borderId="1" xfId="0" applyFont="1" applyFill="1" applyBorder="1"/>
    <xf numFmtId="0" fontId="0" fillId="16" borderId="0" xfId="0" applyFill="1"/>
    <xf numFmtId="0" fontId="11" fillId="16" borderId="0" xfId="0" applyFont="1" applyFill="1"/>
    <xf numFmtId="0" fontId="26" fillId="16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vertical="center" wrapText="1"/>
    </xf>
    <xf numFmtId="0" fontId="17" fillId="16" borderId="0" xfId="0" applyFont="1" applyFill="1"/>
    <xf numFmtId="0" fontId="18" fillId="16" borderId="0" xfId="0" applyFont="1" applyFill="1" applyAlignment="1">
      <alignment horizontal="right"/>
    </xf>
    <xf numFmtId="0" fontId="13" fillId="16" borderId="0" xfId="0" applyFont="1" applyFill="1"/>
    <xf numFmtId="0" fontId="11" fillId="17" borderId="0" xfId="0" applyFont="1" applyFill="1"/>
    <xf numFmtId="0" fontId="0" fillId="17" borderId="0" xfId="0" applyFill="1"/>
    <xf numFmtId="0" fontId="19" fillId="17" borderId="0" xfId="0" applyFont="1" applyFill="1"/>
    <xf numFmtId="0" fontId="18" fillId="17" borderId="0" xfId="0" applyFont="1" applyFill="1" applyAlignment="1">
      <alignment horizontal="right"/>
    </xf>
    <xf numFmtId="0" fontId="17" fillId="17" borderId="0" xfId="0" applyFont="1" applyFill="1"/>
    <xf numFmtId="0" fontId="5" fillId="17" borderId="1" xfId="0" applyFont="1" applyFill="1" applyBorder="1"/>
    <xf numFmtId="0" fontId="0" fillId="17" borderId="1" xfId="0" applyFill="1" applyBorder="1"/>
    <xf numFmtId="0" fontId="5" fillId="17" borderId="0" xfId="0" applyFont="1" applyFill="1"/>
    <xf numFmtId="0" fontId="7" fillId="17" borderId="0" xfId="0" applyFont="1" applyFill="1"/>
    <xf numFmtId="0" fontId="11" fillId="17" borderId="0" xfId="0" applyFont="1" applyFill="1" applyAlignment="1">
      <alignment horizontal="right"/>
    </xf>
    <xf numFmtId="0" fontId="5" fillId="11" borderId="0" xfId="0" applyFont="1" applyFill="1"/>
    <xf numFmtId="0" fontId="13" fillId="17" borderId="0" xfId="0" applyFont="1" applyFill="1"/>
    <xf numFmtId="0" fontId="5" fillId="15" borderId="0" xfId="0" applyFont="1" applyFill="1"/>
    <xf numFmtId="0" fontId="0" fillId="11" borderId="0" xfId="0" applyFill="1" applyAlignment="1">
      <alignment horizontal="right"/>
    </xf>
    <xf numFmtId="0" fontId="10" fillId="11" borderId="0" xfId="0" applyFont="1" applyFill="1" applyAlignment="1">
      <alignment horizontal="left"/>
    </xf>
    <xf numFmtId="0" fontId="0" fillId="17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26" fillId="15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vertical="center" wrapText="1"/>
    </xf>
    <xf numFmtId="0" fontId="0" fillId="15" borderId="0" xfId="0" applyFill="1" applyAlignment="1">
      <alignment horizontal="left"/>
    </xf>
    <xf numFmtId="0" fontId="17" fillId="15" borderId="1" xfId="0" applyFont="1" applyFill="1" applyBorder="1"/>
    <xf numFmtId="0" fontId="24" fillId="15" borderId="1" xfId="0" applyFont="1" applyFill="1" applyBorder="1"/>
    <xf numFmtId="0" fontId="18" fillId="15" borderId="1" xfId="0" applyFont="1" applyFill="1" applyBorder="1" applyAlignment="1">
      <alignment horizontal="right"/>
    </xf>
    <xf numFmtId="0" fontId="0" fillId="15" borderId="1" xfId="0" applyFill="1" applyBorder="1"/>
    <xf numFmtId="0" fontId="0" fillId="15" borderId="1" xfId="0" applyFill="1" applyBorder="1" applyAlignment="1">
      <alignment horizontal="left"/>
    </xf>
    <xf numFmtId="0" fontId="37" fillId="11" borderId="0" xfId="0" applyFont="1" applyFill="1" applyAlignment="1">
      <alignment horizontal="left" vertical="center"/>
    </xf>
    <xf numFmtId="0" fontId="37" fillId="10" borderId="0" xfId="0" applyFont="1" applyFill="1" applyAlignment="1">
      <alignment horizontal="left" vertical="center"/>
    </xf>
    <xf numFmtId="0" fontId="21" fillId="16" borderId="0" xfId="0" applyFont="1" applyFill="1"/>
    <xf numFmtId="0" fontId="17" fillId="11" borderId="1" xfId="0" applyFont="1" applyFill="1" applyBorder="1"/>
    <xf numFmtId="0" fontId="19" fillId="11" borderId="1" xfId="0" applyFont="1" applyFill="1" applyBorder="1"/>
    <xf numFmtId="0" fontId="18" fillId="11" borderId="1" xfId="0" applyFont="1" applyFill="1" applyBorder="1" applyAlignment="1">
      <alignment horizontal="right"/>
    </xf>
    <xf numFmtId="0" fontId="9" fillId="15" borderId="0" xfId="0" applyFont="1" applyFill="1"/>
    <xf numFmtId="0" fontId="4" fillId="11" borderId="0" xfId="0" applyFont="1" applyFill="1"/>
    <xf numFmtId="0" fontId="4" fillId="0" borderId="1" xfId="0" applyFont="1" applyBorder="1" applyAlignment="1">
      <alignment vertical="center" wrapText="1"/>
    </xf>
    <xf numFmtId="0" fontId="19" fillId="11" borderId="0" xfId="0" applyFont="1" applyFill="1"/>
    <xf numFmtId="0" fontId="3" fillId="17" borderId="0" xfId="0" applyFont="1" applyFill="1"/>
    <xf numFmtId="0" fontId="3" fillId="11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11" borderId="0" xfId="0" applyFont="1" applyFill="1"/>
    <xf numFmtId="0" fontId="2" fillId="11" borderId="1" xfId="0" applyFont="1" applyFill="1" applyBorder="1"/>
    <xf numFmtId="0" fontId="2" fillId="16" borderId="0" xfId="0" applyFont="1" applyFill="1"/>
    <xf numFmtId="0" fontId="2" fillId="17" borderId="0" xfId="0" applyFont="1" applyFill="1"/>
    <xf numFmtId="0" fontId="31" fillId="13" borderId="0" xfId="0" applyFont="1" applyFill="1"/>
    <xf numFmtId="0" fontId="39" fillId="10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39" fillId="17" borderId="0" xfId="0" applyFont="1" applyFill="1" applyAlignment="1">
      <alignment horizontal="center" vertical="top"/>
    </xf>
    <xf numFmtId="0" fontId="39" fillId="16" borderId="0" xfId="0" applyFont="1" applyFill="1" applyAlignment="1">
      <alignment horizontal="center" vertical="top"/>
    </xf>
    <xf numFmtId="0" fontId="32" fillId="15" borderId="0" xfId="0" applyFont="1" applyFill="1" applyAlignment="1">
      <alignment wrapText="1"/>
    </xf>
    <xf numFmtId="0" fontId="2" fillId="15" borderId="0" xfId="0" applyFont="1" applyFill="1" applyAlignment="1">
      <alignment vertical="top" wrapText="1"/>
    </xf>
    <xf numFmtId="0" fontId="0" fillId="15" borderId="0" xfId="0" applyFill="1" applyAlignment="1">
      <alignment vertical="top"/>
    </xf>
    <xf numFmtId="0" fontId="40" fillId="18" borderId="0" xfId="0" applyFont="1" applyFill="1" applyAlignment="1">
      <alignment vertical="top"/>
    </xf>
    <xf numFmtId="0" fontId="40" fillId="18" borderId="0" xfId="0" applyFont="1" applyFill="1" applyAlignment="1">
      <alignment horizontal="center" vertical="top"/>
    </xf>
    <xf numFmtId="0" fontId="40" fillId="18" borderId="0" xfId="0" applyFont="1" applyFill="1"/>
    <xf numFmtId="0" fontId="16" fillId="5" borderId="1" xfId="0" applyFont="1" applyFill="1" applyBorder="1" applyAlignment="1">
      <alignment horizontal="center"/>
    </xf>
    <xf numFmtId="0" fontId="20" fillId="0" borderId="1" xfId="0" applyFont="1" applyBorder="1"/>
    <xf numFmtId="0" fontId="16" fillId="3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9" borderId="0" xfId="0" applyFont="1" applyFill="1" applyAlignment="1">
      <alignment horizontal="center" vertical="top"/>
    </xf>
    <xf numFmtId="0" fontId="11" fillId="9" borderId="0" xfId="0" applyFont="1" applyFill="1" applyAlignment="1">
      <alignment horizontal="left" vertical="top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0" fontId="11" fillId="15" borderId="0" xfId="0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Overview</a:t>
            </a:r>
            <a:r>
              <a:rPr lang="en-US" b="1" baseline="0"/>
              <a:t> of Cognitive Outcomes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cog_outcomes!$H$2:$H$24</c:f>
              <c:strCache>
                <c:ptCount val="23"/>
                <c:pt idx="0">
                  <c:v>Global Cognition</c:v>
                </c:pt>
                <c:pt idx="1">
                  <c:v>Executive Function</c:v>
                </c:pt>
                <c:pt idx="2">
                  <c:v>Intelligence</c:v>
                </c:pt>
                <c:pt idx="3">
                  <c:v>Visuospatial</c:v>
                </c:pt>
                <c:pt idx="4">
                  <c:v>Language</c:v>
                </c:pt>
                <c:pt idx="5">
                  <c:v>Memory</c:v>
                </c:pt>
                <c:pt idx="6">
                  <c:v>Working Memory</c:v>
                </c:pt>
                <c:pt idx="7">
                  <c:v>Verbal Memory</c:v>
                </c:pt>
                <c:pt idx="8">
                  <c:v>Attention</c:v>
                </c:pt>
                <c:pt idx="9">
                  <c:v>Processing Speed</c:v>
                </c:pt>
                <c:pt idx="10">
                  <c:v>Inhibition</c:v>
                </c:pt>
                <c:pt idx="11">
                  <c:v>Orientation</c:v>
                </c:pt>
                <c:pt idx="12">
                  <c:v>Decision making</c:v>
                </c:pt>
                <c:pt idx="13">
                  <c:v>Inhibition</c:v>
                </c:pt>
                <c:pt idx="14">
                  <c:v>Verbal comprehension</c:v>
                </c:pt>
                <c:pt idx="15">
                  <c:v>Perceptual reasoning</c:v>
                </c:pt>
                <c:pt idx="16">
                  <c:v>Verbal fluency</c:v>
                </c:pt>
                <c:pt idx="17">
                  <c:v>Semantic fluency</c:v>
                </c:pt>
                <c:pt idx="18">
                  <c:v>Phonemic fluency</c:v>
                </c:pt>
                <c:pt idx="19">
                  <c:v>Planning</c:v>
                </c:pt>
                <c:pt idx="20">
                  <c:v>Set-shifting</c:v>
                </c:pt>
                <c:pt idx="21">
                  <c:v>Subjective Memory</c:v>
                </c:pt>
                <c:pt idx="22">
                  <c:v>Reward processing</c:v>
                </c:pt>
              </c:strCache>
            </c:strRef>
          </c:cat>
          <c:val>
            <c:numRef>
              <c:f>cog_outcomes!$BD$2:$BD$24</c:f>
              <c:numCache>
                <c:formatCode>General</c:formatCode>
                <c:ptCount val="23"/>
                <c:pt idx="0">
                  <c:v>6</c:v>
                </c:pt>
                <c:pt idx="1">
                  <c:v>17</c:v>
                </c:pt>
                <c:pt idx="2">
                  <c:v>1</c:v>
                </c:pt>
                <c:pt idx="3">
                  <c:v>4</c:v>
                </c:pt>
                <c:pt idx="4">
                  <c:v>12</c:v>
                </c:pt>
                <c:pt idx="5">
                  <c:v>9</c:v>
                </c:pt>
                <c:pt idx="6">
                  <c:v>9</c:v>
                </c:pt>
                <c:pt idx="7">
                  <c:v>5</c:v>
                </c:pt>
                <c:pt idx="8">
                  <c:v>15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F-4E96-A4A9-4BF468B24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761775"/>
        <c:axId val="750769935"/>
      </c:barChart>
      <c:catAx>
        <c:axId val="75076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69935"/>
        <c:crosses val="autoZero"/>
        <c:auto val="1"/>
        <c:lblAlgn val="ctr"/>
        <c:lblOffset val="100"/>
        <c:noMultiLvlLbl val="0"/>
      </c:catAx>
      <c:valAx>
        <c:axId val="75076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6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29</xdr:row>
      <xdr:rowOff>160421</xdr:rowOff>
    </xdr:from>
    <xdr:to>
      <xdr:col>24</xdr:col>
      <xdr:colOff>0</xdr:colOff>
      <xdr:row>40</xdr:row>
      <xdr:rowOff>213761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51B3A8-5000-2861-9D3D-A467C880C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lody Marie Lawas" id="{F63A1090-D86A-46D7-B3BC-15825D71AEDD}" userId="3f2fb1dda28347e6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G26" dT="2025-12-08T15:46:39.55" personId="{F63A1090-D86A-46D7-B3BC-15825D71AEDD}" id="{733ED662-F1F6-430B-AA8F-E638D61BA9B1}">
    <text>Trail Making Test B minus A score</text>
  </threadedComment>
  <threadedComment ref="BG58" dT="2025-12-08T17:01:54.88" personId="{F63A1090-D86A-46D7-B3BC-15825D71AEDD}" id="{8E122302-83A0-461A-A2C0-8667EE0D8A72}">
    <text>Indirect biomarker of cholinergic transmission. SAI is measured with TMS but the effects are from tACS</text>
  </threadedComment>
  <threadedComment ref="BG63" dT="2025-12-08T17:15:16.43" personId="{F63A1090-D86A-46D7-B3BC-15825D71AEDD}" id="{04028790-AECF-46F1-AD0E-E2664E90DF4D}">
    <text>Supplementary Study 1, testing for the effects of Tacs on other cognitive domains (n=10)</text>
  </threadedComment>
  <threadedComment ref="BG63" dT="2025-12-12T13:09:39.08" personId="{F63A1090-D86A-46D7-B3BC-15825D71AEDD}" id="{59FC0ADC-F0B4-4189-8A9E-FDEF5785FAD4}" parentId="{04028790-AECF-46F1-AD0E-E2664E90DF4D}">
    <text>Mark these studies as Benussi A. Benussi B, etc)</text>
  </threadedComment>
  <threadedComment ref="BG69" dT="2025-12-08T17:14:41.07" personId="{F63A1090-D86A-46D7-B3BC-15825D71AEDD}" id="{35347E64-0BAC-439B-BA08-BCE73D6B42DF}">
    <text>Supplementary Study 2 (tACS performed over DLPFC pre-post stimulation)</text>
  </threadedComment>
  <threadedComment ref="BG74" dT="2025-12-09T15:47:53.60" personId="{F63A1090-D86A-46D7-B3BC-15825D71AEDD}" id="{3CD67576-AEE5-45A8-86ED-DC2EC1974C70}">
    <text>Proteins that build up between brain cells for AD patients</text>
  </threadedComment>
  <threadedComment ref="B85" dT="2025-12-09T16:31:47.00" personId="{F63A1090-D86A-46D7-B3BC-15825D71AEDD}" id="{44936AB8-9C72-4A59-A751-7E338304ACD1}">
    <text>This study was only done on 2 dementia patients….do we still include?</text>
  </threadedComment>
  <threadedComment ref="BG91" dT="2025-12-08T17:01:54.88" personId="{F63A1090-D86A-46D7-B3BC-15825D71AEDD}" id="{EC8B290A-5D4C-4EFF-8386-30722F91B13C}">
    <text>Indirect biomarker of cholinergic transmission. SAI is measured with TMS but the effects are from tACS</text>
  </threadedComment>
  <threadedComment ref="C102" dT="2025-12-10T14:22:45.11" personId="{F63A1090-D86A-46D7-B3BC-15825D71AEDD}" id="{7A1A9EEC-7D60-40E8-88FC-69E53470CD5F}">
    <text xml:space="preserve">No data reported </text>
  </threadedComment>
  <threadedComment ref="BG164" dT="2025-12-10T16:15:36.03" personId="{F63A1090-D86A-46D7-B3BC-15825D71AEDD}" id="{42B0FA1B-2F1E-49C5-B37C-FD37B6C914DF}">
    <text>MT = multi-tasking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" dT="2026-02-22T17:51:28.37" personId="{F63A1090-D86A-46D7-B3BC-15825D71AEDD}" id="{C6E3D737-A7DE-45C4-94F3-F825E18FEB17}">
    <text>No sham, will not include in meta-analysis</text>
  </threadedComment>
  <threadedComment ref="A5" dT="2026-02-22T15:48:24.65" personId="{F63A1090-D86A-46D7-B3BC-15825D71AEDD}" id="{56974C17-BC46-4052-A19C-D65537B913CA}">
    <text>Will not include in meta-analysis (no SDs reported), maybe in narrative synthesis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1" dT="2026-02-22T19:48:40.75" personId="{F63A1090-D86A-46D7-B3BC-15825D71AEDD}" id="{E4D24F65-9085-497B-B2AB-A6DF333EA854}">
    <text>Cannot impute scores because no baseline scores (only change scores)</text>
  </threadedComment>
  <threadedComment ref="F15" dT="2026-02-26T16:54:52.78" personId="{F63A1090-D86A-46D7-B3BC-15825D71AEDD}" id="{8138E0C4-D5C0-4DA9-89CA-5A49FC1148C1}">
    <text xml:space="preserve">Sham study but treating it like parallel study because we are only looking at the first treatment arm since in the second arm, both groups receive intervention. </text>
  </threadedComment>
  <threadedComment ref="AN15" dT="2026-02-24T21:07:24.36" personId="{F63A1090-D86A-46D7-B3BC-15825D71AEDD}" id="{3826637B-75C6-486A-8CEC-74F5B7DD3103}">
    <text>Values are missing from paper, but looked at other papers with the same researchers and based it there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N7" dT="2026-02-24T21:07:24.36" personId="{F63A1090-D86A-46D7-B3BC-15825D71AEDD}" id="{FA371B0B-D8AB-4795-9669-9B4EB83C9C74}">
    <text>Values are missing from paper, but looked at other papers with the same researchers and based it there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linicaltrials.gov/study/NCT06134921?a=2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171"/>
  <sheetViews>
    <sheetView zoomScale="95" zoomScaleNormal="89" workbookViewId="0">
      <pane xSplit="5" ySplit="1" topLeftCell="F297" activePane="bottomRight" state="frozen"/>
      <selection pane="topRight" activeCell="F1" sqref="F1"/>
      <selection pane="bottomLeft" activeCell="A2" sqref="A2"/>
      <selection pane="bottomRight" activeCell="L352" sqref="L352"/>
    </sheetView>
  </sheetViews>
  <sheetFormatPr defaultColWidth="12.6640625" defaultRowHeight="15" customHeight="1" x14ac:dyDescent="0.3"/>
  <cols>
    <col min="1" max="1" width="12.33203125" customWidth="1"/>
    <col min="2" max="2" width="28.21875" customWidth="1"/>
    <col min="3" max="3" width="11.21875" customWidth="1"/>
    <col min="4" max="4" width="6.109375" customWidth="1"/>
    <col min="5" max="5" width="4.44140625" customWidth="1"/>
    <col min="6" max="6" width="12.6640625" customWidth="1"/>
    <col min="7" max="59" width="9.6640625" customWidth="1"/>
    <col min="60" max="60" width="12.77734375" customWidth="1"/>
    <col min="61" max="88" width="9.6640625" customWidth="1"/>
  </cols>
  <sheetData>
    <row r="1" spans="1:88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8" t="s">
        <v>8</v>
      </c>
      <c r="J1" s="7" t="s">
        <v>9</v>
      </c>
      <c r="K1" s="8" t="s">
        <v>10</v>
      </c>
      <c r="L1" s="1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1" t="s">
        <v>16</v>
      </c>
      <c r="R1" s="1" t="s">
        <v>17</v>
      </c>
      <c r="S1" s="7" t="s">
        <v>18</v>
      </c>
      <c r="T1" s="8" t="s">
        <v>19</v>
      </c>
      <c r="U1" s="1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1" t="s">
        <v>25</v>
      </c>
      <c r="AA1" s="1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7" t="s">
        <v>65</v>
      </c>
      <c r="BO1" s="7" t="s">
        <v>66</v>
      </c>
      <c r="BP1" s="8" t="s">
        <v>67</v>
      </c>
      <c r="BQ1" s="8" t="s">
        <v>68</v>
      </c>
      <c r="BR1" s="7" t="s">
        <v>69</v>
      </c>
      <c r="BS1" s="7" t="s">
        <v>70</v>
      </c>
      <c r="BT1" s="8" t="s">
        <v>71</v>
      </c>
      <c r="BU1" s="8" t="s">
        <v>72</v>
      </c>
      <c r="BV1" s="7" t="s">
        <v>73</v>
      </c>
      <c r="BW1" s="7" t="s">
        <v>74</v>
      </c>
      <c r="BX1" s="8" t="s">
        <v>75</v>
      </c>
      <c r="BY1" s="8" t="s">
        <v>76</v>
      </c>
      <c r="BZ1" s="7" t="s">
        <v>77</v>
      </c>
      <c r="CA1" s="7" t="s">
        <v>78</v>
      </c>
      <c r="CB1" s="8" t="s">
        <v>79</v>
      </c>
      <c r="CC1" s="8" t="s">
        <v>80</v>
      </c>
      <c r="CD1" s="7" t="s">
        <v>81</v>
      </c>
      <c r="CE1" s="7" t="s">
        <v>82</v>
      </c>
      <c r="CF1" s="8" t="s">
        <v>83</v>
      </c>
      <c r="CG1" s="8" t="s">
        <v>84</v>
      </c>
      <c r="CH1" s="1" t="s">
        <v>85</v>
      </c>
      <c r="CI1" s="1" t="s">
        <v>86</v>
      </c>
      <c r="CJ1" s="1" t="s">
        <v>87</v>
      </c>
    </row>
    <row r="2" spans="1:88" ht="13.5" hidden="1" customHeight="1" x14ac:dyDescent="0.3">
      <c r="A2" s="5" t="s">
        <v>99</v>
      </c>
      <c r="B2" s="5" t="s">
        <v>100</v>
      </c>
      <c r="C2" s="5" t="s">
        <v>101</v>
      </c>
      <c r="D2" s="6">
        <v>2022</v>
      </c>
      <c r="E2" s="5">
        <v>57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</row>
    <row r="3" spans="1:88" ht="13.5" customHeight="1" x14ac:dyDescent="0.3">
      <c r="A3" s="2" t="s">
        <v>99</v>
      </c>
      <c r="B3" t="s">
        <v>102</v>
      </c>
      <c r="C3" s="14" t="s">
        <v>153</v>
      </c>
      <c r="D3" s="3">
        <v>2025</v>
      </c>
      <c r="E3" s="2">
        <v>58</v>
      </c>
      <c r="F3">
        <v>1</v>
      </c>
      <c r="G3">
        <v>1</v>
      </c>
      <c r="H3" t="s">
        <v>514</v>
      </c>
      <c r="I3" t="s">
        <v>513</v>
      </c>
      <c r="J3">
        <v>23</v>
      </c>
      <c r="K3">
        <v>23</v>
      </c>
      <c r="M3">
        <v>7</v>
      </c>
      <c r="N3">
        <v>16</v>
      </c>
      <c r="O3">
        <v>9</v>
      </c>
      <c r="P3">
        <v>14</v>
      </c>
      <c r="S3">
        <v>1</v>
      </c>
      <c r="T3">
        <v>1</v>
      </c>
      <c r="V3">
        <v>66</v>
      </c>
      <c r="X3">
        <v>64</v>
      </c>
      <c r="AL3">
        <v>0</v>
      </c>
      <c r="AM3">
        <v>0</v>
      </c>
      <c r="AN3">
        <v>0</v>
      </c>
      <c r="AO3">
        <v>0</v>
      </c>
      <c r="AY3">
        <v>40</v>
      </c>
      <c r="AZ3" t="s">
        <v>519</v>
      </c>
      <c r="BC3">
        <v>15</v>
      </c>
      <c r="BD3">
        <v>60</v>
      </c>
      <c r="BE3">
        <v>30</v>
      </c>
      <c r="BG3" s="13" t="s">
        <v>143</v>
      </c>
      <c r="BH3">
        <v>1</v>
      </c>
      <c r="BI3">
        <v>1</v>
      </c>
      <c r="BJ3">
        <v>1</v>
      </c>
      <c r="BK3">
        <v>0</v>
      </c>
      <c r="BN3">
        <v>19</v>
      </c>
      <c r="BP3">
        <v>20</v>
      </c>
    </row>
    <row r="4" spans="1:88" ht="13.5" customHeight="1" x14ac:dyDescent="0.3">
      <c r="A4" s="2" t="s">
        <v>99</v>
      </c>
      <c r="B4" t="s">
        <v>102</v>
      </c>
      <c r="C4" s="14" t="s">
        <v>153</v>
      </c>
      <c r="D4" s="3">
        <v>2025</v>
      </c>
      <c r="E4" s="2">
        <v>58</v>
      </c>
      <c r="BG4" s="13" t="s">
        <v>140</v>
      </c>
      <c r="BH4">
        <v>1</v>
      </c>
      <c r="BI4">
        <v>1</v>
      </c>
    </row>
    <row r="5" spans="1:88" ht="13.5" customHeight="1" x14ac:dyDescent="0.3">
      <c r="A5" s="2" t="s">
        <v>99</v>
      </c>
      <c r="B5" t="s">
        <v>102</v>
      </c>
      <c r="C5" s="14" t="s">
        <v>153</v>
      </c>
      <c r="D5" s="3">
        <v>2025</v>
      </c>
      <c r="E5" s="2">
        <v>58</v>
      </c>
      <c r="BG5" s="13" t="s">
        <v>144</v>
      </c>
      <c r="BH5">
        <v>1</v>
      </c>
      <c r="BI5">
        <v>0</v>
      </c>
    </row>
    <row r="6" spans="1:88" ht="13.5" customHeight="1" x14ac:dyDescent="0.3">
      <c r="A6" s="2" t="s">
        <v>99</v>
      </c>
      <c r="B6" t="s">
        <v>102</v>
      </c>
      <c r="C6" s="14" t="s">
        <v>153</v>
      </c>
      <c r="D6" s="3">
        <v>2025</v>
      </c>
      <c r="E6" s="2">
        <v>58</v>
      </c>
      <c r="BG6" s="13" t="s">
        <v>146</v>
      </c>
      <c r="BH6">
        <v>1</v>
      </c>
    </row>
    <row r="7" spans="1:88" ht="13.5" customHeight="1" x14ac:dyDescent="0.3">
      <c r="A7" s="2" t="s">
        <v>99</v>
      </c>
      <c r="B7" t="s">
        <v>102</v>
      </c>
      <c r="C7" s="14" t="s">
        <v>153</v>
      </c>
      <c r="D7" s="3">
        <v>2025</v>
      </c>
      <c r="E7" s="2">
        <v>58</v>
      </c>
      <c r="BG7" s="13" t="s">
        <v>145</v>
      </c>
      <c r="BH7">
        <v>1</v>
      </c>
    </row>
    <row r="8" spans="1:88" ht="13.5" customHeight="1" x14ac:dyDescent="0.3">
      <c r="A8" s="2" t="s">
        <v>99</v>
      </c>
      <c r="B8" t="s">
        <v>102</v>
      </c>
      <c r="C8" s="14" t="s">
        <v>153</v>
      </c>
      <c r="D8" s="3">
        <v>2025</v>
      </c>
      <c r="E8" s="2">
        <v>58</v>
      </c>
      <c r="BG8" s="13" t="s">
        <v>147</v>
      </c>
      <c r="BH8">
        <v>1</v>
      </c>
    </row>
    <row r="9" spans="1:88" ht="13.5" customHeight="1" x14ac:dyDescent="0.3">
      <c r="A9" s="2" t="s">
        <v>99</v>
      </c>
      <c r="B9" t="s">
        <v>102</v>
      </c>
      <c r="C9" s="14" t="s">
        <v>153</v>
      </c>
      <c r="D9" s="3">
        <v>2025</v>
      </c>
      <c r="E9" s="2">
        <v>58</v>
      </c>
      <c r="BG9" s="13" t="s">
        <v>141</v>
      </c>
      <c r="BH9">
        <v>1</v>
      </c>
    </row>
    <row r="10" spans="1:88" ht="13.5" customHeight="1" x14ac:dyDescent="0.3">
      <c r="A10" s="2" t="s">
        <v>99</v>
      </c>
      <c r="B10" t="s">
        <v>102</v>
      </c>
      <c r="C10" s="14" t="s">
        <v>153</v>
      </c>
      <c r="D10" s="3">
        <v>2025</v>
      </c>
      <c r="E10" s="2">
        <v>58</v>
      </c>
      <c r="BG10" s="13" t="s">
        <v>142</v>
      </c>
      <c r="BH10">
        <v>1</v>
      </c>
    </row>
    <row r="11" spans="1:88" ht="13.5" customHeight="1" x14ac:dyDescent="0.3">
      <c r="A11" s="2" t="s">
        <v>99</v>
      </c>
      <c r="B11" t="s">
        <v>102</v>
      </c>
      <c r="C11" s="14" t="s">
        <v>153</v>
      </c>
      <c r="D11" s="3">
        <v>2025</v>
      </c>
      <c r="E11" s="2">
        <v>58</v>
      </c>
      <c r="BG11" s="13" t="s">
        <v>156</v>
      </c>
      <c r="BH11">
        <v>1</v>
      </c>
    </row>
    <row r="12" spans="1:88" ht="13.5" customHeight="1" x14ac:dyDescent="0.3">
      <c r="A12" s="2" t="s">
        <v>99</v>
      </c>
      <c r="B12" t="s">
        <v>102</v>
      </c>
      <c r="C12" s="14" t="s">
        <v>153</v>
      </c>
      <c r="D12" s="3">
        <v>2025</v>
      </c>
      <c r="E12" s="2">
        <v>58</v>
      </c>
      <c r="BG12" s="13" t="s">
        <v>148</v>
      </c>
      <c r="BH12">
        <v>3</v>
      </c>
    </row>
    <row r="13" spans="1:88" ht="13.5" customHeight="1" x14ac:dyDescent="0.3">
      <c r="A13" s="2" t="s">
        <v>99</v>
      </c>
      <c r="B13" t="s">
        <v>102</v>
      </c>
      <c r="C13" s="14" t="s">
        <v>153</v>
      </c>
      <c r="D13" s="3">
        <v>2025</v>
      </c>
      <c r="E13" s="2">
        <v>58</v>
      </c>
      <c r="BG13" s="13" t="s">
        <v>149</v>
      </c>
      <c r="BH13">
        <v>3</v>
      </c>
    </row>
    <row r="14" spans="1:88" ht="13.5" customHeight="1" x14ac:dyDescent="0.3">
      <c r="A14" s="2" t="s">
        <v>99</v>
      </c>
      <c r="B14" t="s">
        <v>102</v>
      </c>
      <c r="C14" s="14" t="s">
        <v>153</v>
      </c>
      <c r="D14" s="3">
        <v>2025</v>
      </c>
      <c r="E14" s="2">
        <v>58</v>
      </c>
      <c r="BG14" s="13" t="s">
        <v>150</v>
      </c>
      <c r="BH14">
        <v>3</v>
      </c>
    </row>
    <row r="15" spans="1:88" ht="13.5" customHeight="1" x14ac:dyDescent="0.3">
      <c r="A15" s="2" t="s">
        <v>99</v>
      </c>
      <c r="B15" t="s">
        <v>102</v>
      </c>
      <c r="C15" s="14" t="s">
        <v>153</v>
      </c>
      <c r="D15" s="3">
        <v>2025</v>
      </c>
      <c r="E15" s="2">
        <v>58</v>
      </c>
      <c r="BG15" s="13" t="s">
        <v>151</v>
      </c>
      <c r="BH15">
        <v>3</v>
      </c>
    </row>
    <row r="16" spans="1:88" s="16" customFormat="1" ht="13.5" customHeight="1" thickBot="1" x14ac:dyDescent="0.35">
      <c r="A16" s="15" t="s">
        <v>99</v>
      </c>
      <c r="B16" s="16" t="s">
        <v>102</v>
      </c>
      <c r="C16" s="17" t="s">
        <v>153</v>
      </c>
      <c r="D16" s="18">
        <v>2025</v>
      </c>
      <c r="E16" s="15">
        <v>58</v>
      </c>
      <c r="BG16" s="19" t="s">
        <v>152</v>
      </c>
      <c r="BH16" s="16">
        <v>3</v>
      </c>
    </row>
    <row r="17" spans="1:69" ht="13.5" customHeight="1" x14ac:dyDescent="0.3">
      <c r="A17" s="2" t="s">
        <v>99</v>
      </c>
      <c r="B17" s="2" t="s">
        <v>103</v>
      </c>
      <c r="C17" s="23" t="s">
        <v>169</v>
      </c>
      <c r="D17" s="3">
        <v>2024</v>
      </c>
      <c r="E17" s="2">
        <v>59</v>
      </c>
      <c r="F17">
        <v>1</v>
      </c>
      <c r="G17">
        <v>1</v>
      </c>
      <c r="H17" t="s">
        <v>514</v>
      </c>
      <c r="J17">
        <v>23</v>
      </c>
      <c r="K17">
        <v>23</v>
      </c>
      <c r="M17">
        <v>7</v>
      </c>
      <c r="N17">
        <v>16</v>
      </c>
      <c r="O17">
        <v>9</v>
      </c>
      <c r="P17">
        <v>14</v>
      </c>
      <c r="S17">
        <v>1</v>
      </c>
      <c r="T17">
        <v>1</v>
      </c>
      <c r="V17">
        <v>68.569999999999993</v>
      </c>
      <c r="W17">
        <v>5.21</v>
      </c>
      <c r="X17">
        <v>63.7</v>
      </c>
      <c r="Y17">
        <v>6.05</v>
      </c>
      <c r="AJ17">
        <v>14.52</v>
      </c>
      <c r="AK17">
        <v>15.74</v>
      </c>
      <c r="AL17">
        <v>0</v>
      </c>
      <c r="AM17">
        <v>0</v>
      </c>
      <c r="AN17">
        <v>0</v>
      </c>
      <c r="AO17">
        <v>0</v>
      </c>
      <c r="AP17" t="s">
        <v>515</v>
      </c>
      <c r="AQ17" t="s">
        <v>516</v>
      </c>
      <c r="AR17">
        <v>0</v>
      </c>
      <c r="AS17">
        <v>0</v>
      </c>
      <c r="AT17">
        <v>2</v>
      </c>
      <c r="AU17" t="s">
        <v>518</v>
      </c>
      <c r="AV17" t="s">
        <v>518</v>
      </c>
      <c r="AW17" t="s">
        <v>517</v>
      </c>
      <c r="AX17" t="s">
        <v>517</v>
      </c>
      <c r="AY17">
        <v>40</v>
      </c>
      <c r="AZ17" t="s">
        <v>519</v>
      </c>
      <c r="BC17">
        <v>15</v>
      </c>
      <c r="BD17">
        <v>60</v>
      </c>
      <c r="BE17">
        <v>30</v>
      </c>
      <c r="BG17" s="30" t="s">
        <v>144</v>
      </c>
      <c r="BH17" s="20">
        <v>1</v>
      </c>
      <c r="BI17" s="20">
        <v>0</v>
      </c>
      <c r="BJ17" s="20">
        <v>1</v>
      </c>
      <c r="BK17" s="20">
        <v>0</v>
      </c>
      <c r="BN17">
        <v>18.22</v>
      </c>
      <c r="BO17">
        <v>5.92</v>
      </c>
      <c r="BP17">
        <v>17.3</v>
      </c>
      <c r="BQ17">
        <v>5.98</v>
      </c>
    </row>
    <row r="18" spans="1:69" ht="13.5" customHeight="1" x14ac:dyDescent="0.3">
      <c r="A18" s="2" t="s">
        <v>99</v>
      </c>
      <c r="B18" s="2" t="s">
        <v>103</v>
      </c>
      <c r="C18" s="23" t="s">
        <v>169</v>
      </c>
      <c r="D18" s="3">
        <v>2024</v>
      </c>
      <c r="E18" s="2">
        <v>59</v>
      </c>
      <c r="BG18" s="13" t="s">
        <v>143</v>
      </c>
      <c r="BH18" s="20">
        <v>1</v>
      </c>
      <c r="BI18">
        <v>1</v>
      </c>
      <c r="BN18">
        <v>19.43</v>
      </c>
      <c r="BO18">
        <v>3.33</v>
      </c>
      <c r="BP18">
        <v>20.78</v>
      </c>
      <c r="BQ18">
        <v>3.04</v>
      </c>
    </row>
    <row r="19" spans="1:69" ht="13.5" customHeight="1" x14ac:dyDescent="0.3">
      <c r="A19" s="2" t="s">
        <v>99</v>
      </c>
      <c r="B19" s="2" t="s">
        <v>103</v>
      </c>
      <c r="C19" s="23" t="s">
        <v>169</v>
      </c>
      <c r="D19" s="3">
        <v>2024</v>
      </c>
      <c r="E19" s="2">
        <v>59</v>
      </c>
      <c r="BG19" s="13" t="s">
        <v>140</v>
      </c>
      <c r="BH19" s="20">
        <v>1</v>
      </c>
      <c r="BI19">
        <v>1</v>
      </c>
      <c r="BN19">
        <v>14.52</v>
      </c>
      <c r="BO19">
        <v>3.82</v>
      </c>
      <c r="BP19">
        <v>15.74</v>
      </c>
      <c r="BQ19">
        <v>3.99</v>
      </c>
    </row>
    <row r="20" spans="1:69" ht="13.5" customHeight="1" x14ac:dyDescent="0.3">
      <c r="A20" s="2" t="s">
        <v>99</v>
      </c>
      <c r="B20" s="2" t="s">
        <v>103</v>
      </c>
      <c r="C20" s="23" t="s">
        <v>169</v>
      </c>
      <c r="D20" s="3">
        <v>2024</v>
      </c>
      <c r="E20" s="2">
        <v>59</v>
      </c>
      <c r="BG20" s="13" t="s">
        <v>146</v>
      </c>
      <c r="BH20" s="20">
        <v>1</v>
      </c>
      <c r="BN20">
        <v>14.78</v>
      </c>
      <c r="BO20">
        <v>5.95</v>
      </c>
      <c r="BP20">
        <v>14.83</v>
      </c>
      <c r="BQ20">
        <v>4.54</v>
      </c>
    </row>
    <row r="21" spans="1:69" ht="13.5" customHeight="1" x14ac:dyDescent="0.3">
      <c r="A21" s="2" t="s">
        <v>99</v>
      </c>
      <c r="B21" s="2" t="s">
        <v>103</v>
      </c>
      <c r="C21" s="23" t="s">
        <v>169</v>
      </c>
      <c r="D21" s="3">
        <v>2024</v>
      </c>
      <c r="E21" s="2">
        <v>59</v>
      </c>
      <c r="BG21" s="13" t="s">
        <v>145</v>
      </c>
      <c r="BH21" s="20">
        <v>1</v>
      </c>
      <c r="BN21">
        <v>1.04</v>
      </c>
      <c r="BO21">
        <v>1.29</v>
      </c>
      <c r="BP21">
        <v>1</v>
      </c>
      <c r="BQ21">
        <v>1.2</v>
      </c>
    </row>
    <row r="22" spans="1:69" ht="13.5" customHeight="1" x14ac:dyDescent="0.3">
      <c r="A22" s="2" t="s">
        <v>99</v>
      </c>
      <c r="B22" s="2" t="s">
        <v>103</v>
      </c>
      <c r="C22" s="23" t="s">
        <v>169</v>
      </c>
      <c r="D22" s="3">
        <v>2024</v>
      </c>
      <c r="E22" s="2">
        <v>59</v>
      </c>
      <c r="BG22" s="13" t="s">
        <v>147</v>
      </c>
      <c r="BH22" s="20">
        <v>1</v>
      </c>
      <c r="BN22">
        <v>6.09</v>
      </c>
      <c r="BO22">
        <v>3.48</v>
      </c>
      <c r="BP22">
        <v>5.65</v>
      </c>
      <c r="BQ22">
        <v>2.98</v>
      </c>
    </row>
    <row r="23" spans="1:69" ht="13.5" customHeight="1" x14ac:dyDescent="0.3">
      <c r="A23" s="2" t="s">
        <v>99</v>
      </c>
      <c r="B23" s="2" t="s">
        <v>103</v>
      </c>
      <c r="C23" s="23" t="s">
        <v>169</v>
      </c>
      <c r="D23" s="3">
        <v>2024</v>
      </c>
      <c r="E23" s="2">
        <v>59</v>
      </c>
      <c r="BG23" s="13" t="s">
        <v>154</v>
      </c>
      <c r="BH23" s="20">
        <v>1</v>
      </c>
      <c r="BN23">
        <v>7</v>
      </c>
      <c r="BO23">
        <v>1.41</v>
      </c>
      <c r="BP23">
        <v>7.39</v>
      </c>
      <c r="BQ23">
        <v>1.08</v>
      </c>
    </row>
    <row r="24" spans="1:69" ht="13.5" customHeight="1" x14ac:dyDescent="0.3">
      <c r="A24" s="2" t="s">
        <v>99</v>
      </c>
      <c r="B24" s="2" t="s">
        <v>103</v>
      </c>
      <c r="C24" s="23" t="s">
        <v>169</v>
      </c>
      <c r="D24" s="3">
        <v>2024</v>
      </c>
      <c r="E24" s="2">
        <v>59</v>
      </c>
      <c r="BG24" s="13" t="s">
        <v>155</v>
      </c>
      <c r="BH24" s="20">
        <v>1</v>
      </c>
      <c r="BN24">
        <v>3.66</v>
      </c>
      <c r="BO24">
        <v>0.98</v>
      </c>
      <c r="BP24">
        <v>4.04</v>
      </c>
      <c r="BQ24">
        <v>1.29</v>
      </c>
    </row>
    <row r="25" spans="1:69" ht="13.5" customHeight="1" x14ac:dyDescent="0.3">
      <c r="A25" s="2" t="s">
        <v>99</v>
      </c>
      <c r="B25" s="2" t="s">
        <v>103</v>
      </c>
      <c r="C25" s="23" t="s">
        <v>169</v>
      </c>
      <c r="D25" s="3">
        <v>2024</v>
      </c>
      <c r="E25" s="2">
        <v>59</v>
      </c>
      <c r="BG25" s="13" t="s">
        <v>156</v>
      </c>
      <c r="BH25" s="20">
        <v>1</v>
      </c>
      <c r="BN25">
        <v>20.83</v>
      </c>
      <c r="BO25">
        <v>3.52</v>
      </c>
      <c r="BP25">
        <v>20.74</v>
      </c>
      <c r="BQ25">
        <v>4.87</v>
      </c>
    </row>
    <row r="26" spans="1:69" ht="13.5" customHeight="1" x14ac:dyDescent="0.3">
      <c r="A26" s="2" t="s">
        <v>99</v>
      </c>
      <c r="B26" s="2" t="s">
        <v>103</v>
      </c>
      <c r="C26" s="23" t="s">
        <v>169</v>
      </c>
      <c r="D26" s="3">
        <v>2024</v>
      </c>
      <c r="E26" s="2">
        <v>59</v>
      </c>
      <c r="BG26" s="13" t="s">
        <v>157</v>
      </c>
      <c r="BH26" s="20">
        <v>1</v>
      </c>
      <c r="BN26">
        <v>111.7</v>
      </c>
      <c r="BO26">
        <v>82.42</v>
      </c>
      <c r="BP26">
        <v>107.13</v>
      </c>
      <c r="BQ26">
        <v>84.06</v>
      </c>
    </row>
    <row r="27" spans="1:69" s="21" customFormat="1" ht="13.5" customHeight="1" x14ac:dyDescent="0.3">
      <c r="A27" s="2" t="s">
        <v>99</v>
      </c>
      <c r="B27" s="2" t="s">
        <v>103</v>
      </c>
      <c r="C27" s="23" t="s">
        <v>169</v>
      </c>
      <c r="D27" s="3">
        <v>2024</v>
      </c>
      <c r="E27" s="2">
        <v>59</v>
      </c>
      <c r="BG27" s="13" t="s">
        <v>158</v>
      </c>
      <c r="BH27" s="22">
        <v>1</v>
      </c>
      <c r="BN27" s="21">
        <v>24.55</v>
      </c>
      <c r="BO27" s="21">
        <v>3.23</v>
      </c>
      <c r="BP27" s="21">
        <v>26.09</v>
      </c>
      <c r="BQ27" s="21">
        <v>4.43</v>
      </c>
    </row>
    <row r="28" spans="1:69" s="21" customFormat="1" ht="13.5" customHeight="1" x14ac:dyDescent="0.3">
      <c r="A28" s="2" t="s">
        <v>99</v>
      </c>
      <c r="B28" s="2" t="s">
        <v>103</v>
      </c>
      <c r="C28" s="23" t="s">
        <v>169</v>
      </c>
      <c r="D28" s="3">
        <v>2024</v>
      </c>
      <c r="E28" s="2">
        <v>59</v>
      </c>
      <c r="BG28" s="13" t="s">
        <v>159</v>
      </c>
      <c r="BH28" s="22">
        <v>2</v>
      </c>
    </row>
    <row r="29" spans="1:69" s="21" customFormat="1" ht="13.5" customHeight="1" x14ac:dyDescent="0.3">
      <c r="A29" s="2" t="s">
        <v>99</v>
      </c>
      <c r="B29" s="2" t="s">
        <v>103</v>
      </c>
      <c r="C29" s="23" t="s">
        <v>169</v>
      </c>
      <c r="D29" s="3">
        <v>2024</v>
      </c>
      <c r="E29" s="2">
        <v>59</v>
      </c>
      <c r="BG29" s="13" t="s">
        <v>160</v>
      </c>
      <c r="BH29" s="22">
        <v>2</v>
      </c>
    </row>
    <row r="30" spans="1:69" s="21" customFormat="1" ht="13.5" customHeight="1" x14ac:dyDescent="0.3">
      <c r="A30" s="2" t="s">
        <v>99</v>
      </c>
      <c r="B30" s="2" t="s">
        <v>103</v>
      </c>
      <c r="C30" s="23" t="s">
        <v>169</v>
      </c>
      <c r="D30" s="3">
        <v>2024</v>
      </c>
      <c r="E30" s="2">
        <v>59</v>
      </c>
      <c r="BG30" s="13" t="s">
        <v>161</v>
      </c>
      <c r="BH30" s="22">
        <v>3</v>
      </c>
    </row>
    <row r="31" spans="1:69" s="21" customFormat="1" ht="13.5" customHeight="1" x14ac:dyDescent="0.3">
      <c r="A31" s="2" t="s">
        <v>99</v>
      </c>
      <c r="B31" s="2" t="s">
        <v>103</v>
      </c>
      <c r="C31" s="23" t="s">
        <v>169</v>
      </c>
      <c r="D31" s="3">
        <v>2024</v>
      </c>
      <c r="E31" s="2">
        <v>59</v>
      </c>
      <c r="BG31" s="13" t="s">
        <v>162</v>
      </c>
      <c r="BH31" s="22">
        <v>3</v>
      </c>
    </row>
    <row r="32" spans="1:69" s="21" customFormat="1" ht="13.5" customHeight="1" x14ac:dyDescent="0.3">
      <c r="A32" s="2" t="s">
        <v>99</v>
      </c>
      <c r="B32" s="2" t="s">
        <v>103</v>
      </c>
      <c r="C32" s="23" t="s">
        <v>169</v>
      </c>
      <c r="D32" s="3">
        <v>2024</v>
      </c>
      <c r="E32" s="2">
        <v>59</v>
      </c>
      <c r="BG32" s="13" t="s">
        <v>163</v>
      </c>
      <c r="BH32" s="22">
        <v>3</v>
      </c>
    </row>
    <row r="33" spans="1:60" s="21" customFormat="1" ht="13.5" customHeight="1" x14ac:dyDescent="0.3">
      <c r="A33" s="2" t="s">
        <v>99</v>
      </c>
      <c r="B33" s="2" t="s">
        <v>103</v>
      </c>
      <c r="C33" s="23" t="s">
        <v>169</v>
      </c>
      <c r="D33" s="3">
        <v>2024</v>
      </c>
      <c r="E33" s="2">
        <v>59</v>
      </c>
      <c r="BG33" s="13" t="s">
        <v>164</v>
      </c>
      <c r="BH33" s="22">
        <v>3</v>
      </c>
    </row>
    <row r="34" spans="1:60" s="21" customFormat="1" ht="13.5" customHeight="1" x14ac:dyDescent="0.3">
      <c r="A34" s="2" t="s">
        <v>99</v>
      </c>
      <c r="B34" s="2" t="s">
        <v>103</v>
      </c>
      <c r="C34" s="23" t="s">
        <v>169</v>
      </c>
      <c r="D34" s="3">
        <v>2024</v>
      </c>
      <c r="E34" s="2">
        <v>59</v>
      </c>
      <c r="BG34" s="13" t="s">
        <v>165</v>
      </c>
      <c r="BH34" s="22">
        <v>3</v>
      </c>
    </row>
    <row r="35" spans="1:60" s="21" customFormat="1" ht="13.5" customHeight="1" x14ac:dyDescent="0.3">
      <c r="A35" s="2" t="s">
        <v>99</v>
      </c>
      <c r="B35" s="2" t="s">
        <v>103</v>
      </c>
      <c r="C35" s="23" t="s">
        <v>169</v>
      </c>
      <c r="D35" s="3">
        <v>2024</v>
      </c>
      <c r="E35" s="2">
        <v>59</v>
      </c>
      <c r="BG35" s="13" t="s">
        <v>166</v>
      </c>
      <c r="BH35" s="22">
        <v>3</v>
      </c>
    </row>
    <row r="36" spans="1:60" s="21" customFormat="1" ht="13.5" customHeight="1" x14ac:dyDescent="0.3">
      <c r="A36" s="2" t="s">
        <v>99</v>
      </c>
      <c r="B36" s="2" t="s">
        <v>103</v>
      </c>
      <c r="C36" s="23" t="s">
        <v>169</v>
      </c>
      <c r="D36" s="3">
        <v>2024</v>
      </c>
      <c r="E36" s="2">
        <v>59</v>
      </c>
      <c r="BG36" s="13" t="s">
        <v>167</v>
      </c>
      <c r="BH36" s="22">
        <v>3</v>
      </c>
    </row>
    <row r="37" spans="1:60" s="25" customFormat="1" ht="13.5" customHeight="1" thickBot="1" x14ac:dyDescent="0.35">
      <c r="A37" s="15" t="s">
        <v>99</v>
      </c>
      <c r="B37" s="15" t="s">
        <v>103</v>
      </c>
      <c r="C37" s="24" t="s">
        <v>169</v>
      </c>
      <c r="D37" s="18">
        <v>2024</v>
      </c>
      <c r="E37" s="15">
        <v>59</v>
      </c>
      <c r="BG37" s="19" t="s">
        <v>168</v>
      </c>
      <c r="BH37" s="17">
        <v>3</v>
      </c>
    </row>
    <row r="38" spans="1:60" ht="13.5" customHeight="1" x14ac:dyDescent="0.3">
      <c r="A38" s="2" t="s">
        <v>99</v>
      </c>
      <c r="B38" s="2" t="s">
        <v>104</v>
      </c>
      <c r="C38" s="26" t="s">
        <v>153</v>
      </c>
      <c r="D38" s="3">
        <v>2024</v>
      </c>
      <c r="E38" s="2">
        <v>60</v>
      </c>
      <c r="F38">
        <v>1</v>
      </c>
      <c r="H38" t="s">
        <v>514</v>
      </c>
      <c r="I38" t="s">
        <v>513</v>
      </c>
      <c r="J38">
        <v>23</v>
      </c>
      <c r="K38">
        <v>23</v>
      </c>
      <c r="M38">
        <v>16</v>
      </c>
      <c r="N38">
        <v>30</v>
      </c>
      <c r="O38">
        <v>7</v>
      </c>
      <c r="P38">
        <v>16</v>
      </c>
      <c r="S38">
        <v>1</v>
      </c>
      <c r="T38">
        <v>1</v>
      </c>
      <c r="V38">
        <v>64.78</v>
      </c>
      <c r="W38">
        <v>5.69</v>
      </c>
      <c r="X38">
        <v>65.87</v>
      </c>
      <c r="Y38">
        <v>63.7</v>
      </c>
      <c r="AL38">
        <v>0</v>
      </c>
      <c r="AM38">
        <v>0</v>
      </c>
      <c r="AN38">
        <v>0</v>
      </c>
      <c r="AO38">
        <v>0</v>
      </c>
      <c r="BC38">
        <v>15</v>
      </c>
      <c r="BD38">
        <v>60</v>
      </c>
      <c r="BE38">
        <v>30</v>
      </c>
      <c r="BG38" s="12" t="s">
        <v>144</v>
      </c>
      <c r="BH38" s="22">
        <v>1</v>
      </c>
    </row>
    <row r="39" spans="1:60" ht="13.5" customHeight="1" x14ac:dyDescent="0.3">
      <c r="A39" s="2" t="s">
        <v>99</v>
      </c>
      <c r="B39" s="2" t="s">
        <v>104</v>
      </c>
      <c r="C39" s="26" t="s">
        <v>153</v>
      </c>
      <c r="D39" s="3">
        <v>2024</v>
      </c>
      <c r="E39" s="2">
        <v>60</v>
      </c>
      <c r="BG39" s="13" t="s">
        <v>143</v>
      </c>
      <c r="BH39" s="22">
        <v>1</v>
      </c>
    </row>
    <row r="40" spans="1:60" ht="13.5" customHeight="1" x14ac:dyDescent="0.3">
      <c r="A40" s="2" t="s">
        <v>99</v>
      </c>
      <c r="B40" s="2" t="s">
        <v>104</v>
      </c>
      <c r="C40" s="26" t="s">
        <v>153</v>
      </c>
      <c r="D40" s="3">
        <v>2024</v>
      </c>
      <c r="E40" s="2">
        <v>60</v>
      </c>
      <c r="BG40" s="13" t="s">
        <v>140</v>
      </c>
      <c r="BH40" s="22">
        <v>1</v>
      </c>
    </row>
    <row r="41" spans="1:60" ht="13.5" customHeight="1" x14ac:dyDescent="0.3">
      <c r="A41" s="2" t="s">
        <v>99</v>
      </c>
      <c r="B41" s="2" t="s">
        <v>104</v>
      </c>
      <c r="C41" s="26" t="s">
        <v>153</v>
      </c>
      <c r="D41" s="3">
        <v>2024</v>
      </c>
      <c r="E41" s="2">
        <v>60</v>
      </c>
      <c r="BG41" s="13" t="s">
        <v>146</v>
      </c>
      <c r="BH41" s="22">
        <v>1</v>
      </c>
    </row>
    <row r="42" spans="1:60" ht="13.5" customHeight="1" x14ac:dyDescent="0.3">
      <c r="A42" s="2" t="s">
        <v>99</v>
      </c>
      <c r="B42" s="2" t="s">
        <v>104</v>
      </c>
      <c r="C42" s="26" t="s">
        <v>153</v>
      </c>
      <c r="D42" s="3">
        <v>2024</v>
      </c>
      <c r="E42" s="2">
        <v>60</v>
      </c>
      <c r="BG42" s="13" t="s">
        <v>145</v>
      </c>
      <c r="BH42" s="22">
        <v>1</v>
      </c>
    </row>
    <row r="43" spans="1:60" ht="13.5" customHeight="1" x14ac:dyDescent="0.3">
      <c r="A43" s="2" t="s">
        <v>99</v>
      </c>
      <c r="B43" s="2" t="s">
        <v>104</v>
      </c>
      <c r="C43" s="26" t="s">
        <v>153</v>
      </c>
      <c r="D43" s="3">
        <v>2024</v>
      </c>
      <c r="E43" s="2">
        <v>60</v>
      </c>
      <c r="BG43" s="13" t="s">
        <v>147</v>
      </c>
      <c r="BH43" s="22">
        <v>1</v>
      </c>
    </row>
    <row r="44" spans="1:60" ht="13.5" customHeight="1" x14ac:dyDescent="0.3">
      <c r="A44" s="2" t="s">
        <v>99</v>
      </c>
      <c r="B44" s="2" t="s">
        <v>104</v>
      </c>
      <c r="C44" s="26" t="s">
        <v>153</v>
      </c>
      <c r="D44" s="3">
        <v>2024</v>
      </c>
      <c r="E44" s="2">
        <v>60</v>
      </c>
      <c r="BG44" s="13" t="s">
        <v>141</v>
      </c>
      <c r="BH44" s="22">
        <v>1</v>
      </c>
    </row>
    <row r="45" spans="1:60" ht="13.5" customHeight="1" x14ac:dyDescent="0.3">
      <c r="A45" s="2" t="s">
        <v>99</v>
      </c>
      <c r="B45" s="2" t="s">
        <v>104</v>
      </c>
      <c r="C45" s="26" t="s">
        <v>153</v>
      </c>
      <c r="D45" s="3">
        <v>2024</v>
      </c>
      <c r="E45" s="2">
        <v>60</v>
      </c>
      <c r="BG45" s="13" t="s">
        <v>142</v>
      </c>
      <c r="BH45" s="22">
        <v>1</v>
      </c>
    </row>
    <row r="46" spans="1:60" ht="13.5" customHeight="1" x14ac:dyDescent="0.3">
      <c r="A46" s="2" t="s">
        <v>99</v>
      </c>
      <c r="B46" s="2" t="s">
        <v>104</v>
      </c>
      <c r="C46" s="26" t="s">
        <v>153</v>
      </c>
      <c r="D46" s="3">
        <v>2024</v>
      </c>
      <c r="E46" s="2">
        <v>60</v>
      </c>
      <c r="BG46" s="13" t="s">
        <v>156</v>
      </c>
      <c r="BH46" s="22">
        <v>1</v>
      </c>
    </row>
    <row r="47" spans="1:60" ht="13.5" customHeight="1" x14ac:dyDescent="0.3">
      <c r="A47" s="2" t="s">
        <v>99</v>
      </c>
      <c r="B47" s="2" t="s">
        <v>104</v>
      </c>
      <c r="C47" s="26" t="s">
        <v>153</v>
      </c>
      <c r="D47" s="3">
        <v>2024</v>
      </c>
      <c r="E47" s="2">
        <v>60</v>
      </c>
      <c r="BG47" s="13" t="s">
        <v>170</v>
      </c>
      <c r="BH47" s="22">
        <v>3</v>
      </c>
    </row>
    <row r="48" spans="1:60" ht="13.5" customHeight="1" x14ac:dyDescent="0.3">
      <c r="A48" s="2" t="s">
        <v>99</v>
      </c>
      <c r="B48" s="2" t="s">
        <v>104</v>
      </c>
      <c r="C48" s="26" t="s">
        <v>153</v>
      </c>
      <c r="D48" s="3">
        <v>2024</v>
      </c>
      <c r="E48" s="2">
        <v>60</v>
      </c>
      <c r="BG48" s="13" t="s">
        <v>171</v>
      </c>
      <c r="BH48" s="22">
        <v>3</v>
      </c>
    </row>
    <row r="49" spans="1:60" ht="13.5" customHeight="1" x14ac:dyDescent="0.3">
      <c r="A49" s="2" t="s">
        <v>99</v>
      </c>
      <c r="B49" s="2" t="s">
        <v>104</v>
      </c>
      <c r="C49" s="26" t="s">
        <v>153</v>
      </c>
      <c r="D49" s="3">
        <v>2024</v>
      </c>
      <c r="E49" s="2">
        <v>60</v>
      </c>
      <c r="BG49" s="13" t="s">
        <v>172</v>
      </c>
      <c r="BH49" s="22">
        <v>3</v>
      </c>
    </row>
    <row r="50" spans="1:60" ht="13.5" customHeight="1" x14ac:dyDescent="0.3">
      <c r="A50" s="2" t="s">
        <v>99</v>
      </c>
      <c r="B50" s="2" t="s">
        <v>104</v>
      </c>
      <c r="C50" s="26" t="s">
        <v>153</v>
      </c>
      <c r="D50" s="3">
        <v>2024</v>
      </c>
      <c r="E50" s="2">
        <v>60</v>
      </c>
      <c r="BG50" s="13" t="s">
        <v>173</v>
      </c>
      <c r="BH50" s="22">
        <v>3</v>
      </c>
    </row>
    <row r="51" spans="1:60" ht="13.5" customHeight="1" x14ac:dyDescent="0.3">
      <c r="A51" s="2" t="s">
        <v>99</v>
      </c>
      <c r="B51" s="2" t="s">
        <v>104</v>
      </c>
      <c r="C51" s="26" t="s">
        <v>153</v>
      </c>
      <c r="D51" s="3">
        <v>2024</v>
      </c>
      <c r="E51" s="2">
        <v>60</v>
      </c>
      <c r="BG51" s="13" t="s">
        <v>174</v>
      </c>
      <c r="BH51" s="22">
        <v>3</v>
      </c>
    </row>
    <row r="52" spans="1:60" ht="13.5" customHeight="1" x14ac:dyDescent="0.3">
      <c r="A52" s="2" t="s">
        <v>99</v>
      </c>
      <c r="B52" s="2" t="s">
        <v>104</v>
      </c>
      <c r="C52" s="26" t="s">
        <v>153</v>
      </c>
      <c r="D52" s="3">
        <v>2024</v>
      </c>
      <c r="E52" s="2">
        <v>60</v>
      </c>
      <c r="BG52" s="13" t="s">
        <v>175</v>
      </c>
      <c r="BH52" s="22">
        <v>3</v>
      </c>
    </row>
    <row r="53" spans="1:60" ht="13.5" customHeight="1" x14ac:dyDescent="0.3">
      <c r="A53" s="2" t="s">
        <v>99</v>
      </c>
      <c r="B53" s="2" t="s">
        <v>104</v>
      </c>
      <c r="C53" s="26" t="s">
        <v>153</v>
      </c>
      <c r="D53" s="3">
        <v>2024</v>
      </c>
      <c r="E53" s="2">
        <v>60</v>
      </c>
      <c r="BG53" s="13" t="s">
        <v>176</v>
      </c>
      <c r="BH53" s="22">
        <v>3</v>
      </c>
    </row>
    <row r="54" spans="1:60" s="16" customFormat="1" ht="13.5" customHeight="1" thickBot="1" x14ac:dyDescent="0.35">
      <c r="A54" s="15" t="s">
        <v>99</v>
      </c>
      <c r="B54" s="15" t="s">
        <v>104</v>
      </c>
      <c r="C54" s="27" t="s">
        <v>153</v>
      </c>
      <c r="D54" s="18">
        <v>2024</v>
      </c>
      <c r="E54" s="15">
        <v>60</v>
      </c>
      <c r="BG54" s="19" t="s">
        <v>177</v>
      </c>
      <c r="BH54" s="17">
        <v>3</v>
      </c>
    </row>
    <row r="55" spans="1:60" ht="13.5" customHeight="1" x14ac:dyDescent="0.3">
      <c r="A55" s="2" t="s">
        <v>99</v>
      </c>
      <c r="B55" s="2" t="s">
        <v>105</v>
      </c>
      <c r="C55" s="26" t="s">
        <v>189</v>
      </c>
      <c r="D55" s="3">
        <v>2022</v>
      </c>
      <c r="E55" s="2">
        <v>61</v>
      </c>
      <c r="F55" s="2">
        <v>0</v>
      </c>
      <c r="G55" s="2"/>
      <c r="H55" s="26" t="s">
        <v>514</v>
      </c>
      <c r="I55" s="3" t="s">
        <v>513</v>
      </c>
      <c r="J55" s="2">
        <v>60</v>
      </c>
      <c r="K55" s="2">
        <v>60</v>
      </c>
      <c r="L55" s="2"/>
      <c r="M55" s="26"/>
      <c r="N55" s="3"/>
      <c r="O55" s="2"/>
      <c r="P55" s="2"/>
      <c r="Q55" s="2"/>
      <c r="R55" s="26" t="s">
        <v>189</v>
      </c>
      <c r="S55" s="3">
        <v>-9744</v>
      </c>
      <c r="T55" s="2">
        <v>-11705</v>
      </c>
      <c r="U55" s="2" t="s">
        <v>99</v>
      </c>
      <c r="V55" s="2" t="s">
        <v>105</v>
      </c>
      <c r="W55" s="26" t="s">
        <v>189</v>
      </c>
      <c r="X55" s="3">
        <v>-13666</v>
      </c>
      <c r="Y55" s="2">
        <v>-15627</v>
      </c>
      <c r="Z55" s="2" t="s">
        <v>99</v>
      </c>
      <c r="AA55" s="2" t="s">
        <v>105</v>
      </c>
      <c r="AB55" s="26" t="s">
        <v>189</v>
      </c>
      <c r="AC55" s="3">
        <v>-17588</v>
      </c>
      <c r="AD55" s="2">
        <v>-19549</v>
      </c>
      <c r="AE55" s="2" t="s">
        <v>99</v>
      </c>
      <c r="AF55" s="2" t="s">
        <v>105</v>
      </c>
      <c r="AG55" s="26" t="s">
        <v>189</v>
      </c>
      <c r="AH55" s="3">
        <v>-21510</v>
      </c>
      <c r="AI55" s="2">
        <v>-23471</v>
      </c>
      <c r="AJ55" s="2" t="s">
        <v>99</v>
      </c>
      <c r="AK55" s="2" t="s">
        <v>105</v>
      </c>
      <c r="AL55" s="26" t="s">
        <v>189</v>
      </c>
      <c r="AM55" s="3">
        <v>-25432</v>
      </c>
      <c r="AN55" s="2">
        <v>-27393</v>
      </c>
      <c r="AO55" s="2" t="s">
        <v>99</v>
      </c>
      <c r="AP55" s="2" t="s">
        <v>105</v>
      </c>
      <c r="AQ55" s="26" t="s">
        <v>189</v>
      </c>
      <c r="AR55" s="3">
        <v>-29354</v>
      </c>
      <c r="AS55" s="2">
        <v>-31315</v>
      </c>
      <c r="BG55" s="13" t="s">
        <v>179</v>
      </c>
      <c r="BH55" s="22">
        <v>1</v>
      </c>
    </row>
    <row r="56" spans="1:60" ht="13.5" customHeight="1" x14ac:dyDescent="0.3">
      <c r="A56" s="2" t="s">
        <v>99</v>
      </c>
      <c r="B56" s="2" t="s">
        <v>105</v>
      </c>
      <c r="C56" s="26" t="s">
        <v>189</v>
      </c>
      <c r="D56" s="3">
        <v>2022</v>
      </c>
      <c r="E56" s="2">
        <v>61</v>
      </c>
      <c r="BG56" s="13" t="s">
        <v>180</v>
      </c>
      <c r="BH56" s="22">
        <v>1</v>
      </c>
    </row>
    <row r="57" spans="1:60" ht="13.5" customHeight="1" x14ac:dyDescent="0.3">
      <c r="A57" s="2" t="s">
        <v>99</v>
      </c>
      <c r="B57" s="2" t="s">
        <v>105</v>
      </c>
      <c r="C57" s="26" t="s">
        <v>189</v>
      </c>
      <c r="D57" s="3">
        <v>2022</v>
      </c>
      <c r="E57" s="2">
        <v>61</v>
      </c>
      <c r="BG57" s="13" t="s">
        <v>178</v>
      </c>
      <c r="BH57" s="22">
        <v>1</v>
      </c>
    </row>
    <row r="58" spans="1:60" ht="13.5" customHeight="1" x14ac:dyDescent="0.3">
      <c r="A58" s="2" t="s">
        <v>99</v>
      </c>
      <c r="B58" s="2" t="s">
        <v>105</v>
      </c>
      <c r="C58" s="26" t="s">
        <v>189</v>
      </c>
      <c r="D58" s="3">
        <v>2022</v>
      </c>
      <c r="E58" s="2">
        <v>61</v>
      </c>
      <c r="BG58" s="28" t="s">
        <v>181</v>
      </c>
      <c r="BH58" s="22">
        <v>3</v>
      </c>
    </row>
    <row r="59" spans="1:60" ht="13.5" customHeight="1" x14ac:dyDescent="0.3">
      <c r="A59" s="2" t="s">
        <v>99</v>
      </c>
      <c r="B59" s="2" t="s">
        <v>105</v>
      </c>
      <c r="C59" s="26" t="s">
        <v>189</v>
      </c>
      <c r="D59" s="3">
        <v>2022</v>
      </c>
      <c r="E59" s="2">
        <v>61</v>
      </c>
      <c r="BG59" s="28" t="s">
        <v>182</v>
      </c>
      <c r="BH59" s="22">
        <v>3</v>
      </c>
    </row>
    <row r="60" spans="1:60" ht="13.5" customHeight="1" x14ac:dyDescent="0.3">
      <c r="A60" s="2" t="s">
        <v>99</v>
      </c>
      <c r="B60" s="2" t="s">
        <v>105</v>
      </c>
      <c r="C60" s="26" t="s">
        <v>189</v>
      </c>
      <c r="D60" s="3">
        <v>2022</v>
      </c>
      <c r="E60" s="2">
        <v>61</v>
      </c>
      <c r="BG60" s="28" t="s">
        <v>183</v>
      </c>
      <c r="BH60" s="22">
        <v>3</v>
      </c>
    </row>
    <row r="61" spans="1:60" ht="13.5" customHeight="1" x14ac:dyDescent="0.3">
      <c r="A61" s="2" t="s">
        <v>99</v>
      </c>
      <c r="B61" s="2" t="s">
        <v>105</v>
      </c>
      <c r="C61" s="26" t="s">
        <v>189</v>
      </c>
      <c r="D61" s="3">
        <v>2022</v>
      </c>
      <c r="E61" s="2">
        <v>61</v>
      </c>
      <c r="BG61" s="28" t="s">
        <v>184</v>
      </c>
      <c r="BH61" s="22">
        <v>3</v>
      </c>
    </row>
    <row r="62" spans="1:60" ht="13.5" customHeight="1" x14ac:dyDescent="0.3">
      <c r="A62" s="2" t="s">
        <v>99</v>
      </c>
      <c r="B62" s="2" t="s">
        <v>105</v>
      </c>
      <c r="C62" s="26" t="s">
        <v>189</v>
      </c>
      <c r="D62" s="3">
        <v>2022</v>
      </c>
      <c r="E62" s="2">
        <v>61</v>
      </c>
      <c r="BG62" s="28" t="s">
        <v>185</v>
      </c>
      <c r="BH62" s="22">
        <v>3</v>
      </c>
    </row>
    <row r="63" spans="1:60" ht="13.5" customHeight="1" x14ac:dyDescent="0.3">
      <c r="A63" s="2" t="s">
        <v>99</v>
      </c>
      <c r="B63" s="2" t="s">
        <v>105</v>
      </c>
      <c r="C63" s="26" t="s">
        <v>189</v>
      </c>
      <c r="D63" s="3">
        <v>2022</v>
      </c>
      <c r="E63" s="2">
        <v>61</v>
      </c>
      <c r="BG63" s="28" t="s">
        <v>155</v>
      </c>
      <c r="BH63" s="22">
        <v>1</v>
      </c>
    </row>
    <row r="64" spans="1:60" ht="13.5" customHeight="1" x14ac:dyDescent="0.3">
      <c r="A64" s="2" t="s">
        <v>99</v>
      </c>
      <c r="B64" s="2" t="s">
        <v>105</v>
      </c>
      <c r="C64" s="26" t="s">
        <v>189</v>
      </c>
      <c r="D64" s="3">
        <v>2022</v>
      </c>
      <c r="E64" s="2">
        <v>61</v>
      </c>
      <c r="BG64" s="28" t="s">
        <v>186</v>
      </c>
      <c r="BH64" s="22">
        <v>1</v>
      </c>
    </row>
    <row r="65" spans="1:61" ht="13.5" customHeight="1" x14ac:dyDescent="0.3">
      <c r="A65" s="2" t="s">
        <v>99</v>
      </c>
      <c r="B65" s="2" t="s">
        <v>105</v>
      </c>
      <c r="C65" s="26" t="s">
        <v>189</v>
      </c>
      <c r="D65" s="3">
        <v>2022</v>
      </c>
      <c r="E65" s="2">
        <v>61</v>
      </c>
      <c r="BG65" s="28" t="s">
        <v>142</v>
      </c>
      <c r="BH65" s="22">
        <v>1</v>
      </c>
    </row>
    <row r="66" spans="1:61" ht="13.5" customHeight="1" x14ac:dyDescent="0.3">
      <c r="A66" s="2" t="s">
        <v>99</v>
      </c>
      <c r="B66" s="2" t="s">
        <v>105</v>
      </c>
      <c r="C66" s="26" t="s">
        <v>189</v>
      </c>
      <c r="D66" s="3">
        <v>2022</v>
      </c>
      <c r="E66" s="2">
        <v>61</v>
      </c>
      <c r="BG66" s="28" t="s">
        <v>141</v>
      </c>
      <c r="BH66" s="22">
        <v>1</v>
      </c>
    </row>
    <row r="67" spans="1:61" ht="13.5" customHeight="1" x14ac:dyDescent="0.3">
      <c r="A67" s="2" t="s">
        <v>99</v>
      </c>
      <c r="B67" s="2" t="s">
        <v>105</v>
      </c>
      <c r="C67" s="26" t="s">
        <v>189</v>
      </c>
      <c r="D67" s="3">
        <v>2022</v>
      </c>
      <c r="E67" s="2">
        <v>61</v>
      </c>
      <c r="BG67" s="28" t="s">
        <v>187</v>
      </c>
      <c r="BH67" s="22">
        <v>1</v>
      </c>
    </row>
    <row r="68" spans="1:61" ht="13.5" customHeight="1" x14ac:dyDescent="0.3">
      <c r="A68" s="2" t="s">
        <v>99</v>
      </c>
      <c r="B68" s="2" t="s">
        <v>105</v>
      </c>
      <c r="C68" s="26" t="s">
        <v>189</v>
      </c>
      <c r="D68" s="3">
        <v>2022</v>
      </c>
      <c r="E68" s="2">
        <v>61</v>
      </c>
      <c r="BG68" s="28" t="s">
        <v>188</v>
      </c>
      <c r="BH68" s="22">
        <v>1</v>
      </c>
    </row>
    <row r="69" spans="1:61" ht="13.5" customHeight="1" x14ac:dyDescent="0.3">
      <c r="A69" s="2" t="s">
        <v>99</v>
      </c>
      <c r="B69" s="2" t="s">
        <v>105</v>
      </c>
      <c r="C69" s="26" t="s">
        <v>189</v>
      </c>
      <c r="D69" s="3">
        <v>2022</v>
      </c>
      <c r="E69" s="2">
        <v>61</v>
      </c>
      <c r="BG69" s="28" t="s">
        <v>179</v>
      </c>
      <c r="BH69" s="22">
        <v>1</v>
      </c>
    </row>
    <row r="70" spans="1:61" ht="13.5" customHeight="1" x14ac:dyDescent="0.3">
      <c r="A70" s="2" t="s">
        <v>99</v>
      </c>
      <c r="B70" s="2" t="s">
        <v>105</v>
      </c>
      <c r="C70" s="26" t="s">
        <v>189</v>
      </c>
      <c r="D70" s="3">
        <v>2022</v>
      </c>
      <c r="E70" s="2">
        <v>61</v>
      </c>
      <c r="BG70" s="28" t="s">
        <v>180</v>
      </c>
      <c r="BH70" s="22">
        <v>1</v>
      </c>
    </row>
    <row r="71" spans="1:61" s="16" customFormat="1" ht="13.5" customHeight="1" thickBot="1" x14ac:dyDescent="0.35">
      <c r="A71" s="15" t="s">
        <v>99</v>
      </c>
      <c r="B71" s="15" t="s">
        <v>105</v>
      </c>
      <c r="C71" s="27" t="s">
        <v>189</v>
      </c>
      <c r="D71" s="18">
        <v>2022</v>
      </c>
      <c r="E71" s="15">
        <v>61</v>
      </c>
      <c r="BG71" s="29" t="s">
        <v>178</v>
      </c>
      <c r="BH71" s="17">
        <v>1</v>
      </c>
    </row>
    <row r="72" spans="1:61" ht="13.5" customHeight="1" x14ac:dyDescent="0.3">
      <c r="A72" s="2" t="s">
        <v>99</v>
      </c>
      <c r="B72" s="2" t="s">
        <v>106</v>
      </c>
      <c r="C72" s="4" t="s">
        <v>192</v>
      </c>
      <c r="D72" s="3">
        <v>2022</v>
      </c>
      <c r="E72" s="2">
        <v>62</v>
      </c>
      <c r="F72">
        <v>1</v>
      </c>
      <c r="G72">
        <v>1</v>
      </c>
      <c r="H72" t="s">
        <v>514</v>
      </c>
      <c r="I72" t="s">
        <v>513</v>
      </c>
      <c r="J72">
        <v>23</v>
      </c>
      <c r="K72">
        <v>27</v>
      </c>
      <c r="M72">
        <v>8</v>
      </c>
      <c r="N72">
        <v>15</v>
      </c>
      <c r="O72">
        <v>6</v>
      </c>
      <c r="P72">
        <v>21</v>
      </c>
      <c r="S72">
        <v>0</v>
      </c>
      <c r="T72">
        <v>0</v>
      </c>
      <c r="V72">
        <v>76.95</v>
      </c>
      <c r="W72">
        <v>1.28</v>
      </c>
      <c r="X72">
        <v>75.78</v>
      </c>
      <c r="Y72">
        <v>1.26</v>
      </c>
      <c r="AB72">
        <v>51.84</v>
      </c>
      <c r="AC72">
        <v>4.5599999999999996</v>
      </c>
      <c r="AD72">
        <v>49.44</v>
      </c>
      <c r="AE72">
        <v>3.36</v>
      </c>
      <c r="AP72">
        <v>4</v>
      </c>
      <c r="AQ72">
        <v>4</v>
      </c>
      <c r="AT72">
        <v>0</v>
      </c>
      <c r="BG72" s="72" t="s">
        <v>144</v>
      </c>
      <c r="BH72" s="31">
        <v>1</v>
      </c>
      <c r="BI72">
        <v>0</v>
      </c>
    </row>
    <row r="73" spans="1:61" ht="13.5" customHeight="1" x14ac:dyDescent="0.3">
      <c r="A73" s="2" t="s">
        <v>99</v>
      </c>
      <c r="B73" s="2" t="s">
        <v>106</v>
      </c>
      <c r="C73" s="4" t="s">
        <v>192</v>
      </c>
      <c r="D73" s="3">
        <v>2022</v>
      </c>
      <c r="E73" s="2">
        <v>62</v>
      </c>
      <c r="BG73" s="13" t="s">
        <v>143</v>
      </c>
      <c r="BH73" s="31">
        <v>1</v>
      </c>
      <c r="BI73">
        <v>1</v>
      </c>
    </row>
    <row r="74" spans="1:61" s="16" customFormat="1" ht="13.5" customHeight="1" thickBot="1" x14ac:dyDescent="0.35">
      <c r="A74" s="15" t="s">
        <v>99</v>
      </c>
      <c r="B74" s="15" t="s">
        <v>106</v>
      </c>
      <c r="C74" s="32" t="s">
        <v>192</v>
      </c>
      <c r="D74" s="18">
        <v>2022</v>
      </c>
      <c r="E74" s="15">
        <v>62</v>
      </c>
      <c r="BG74" s="33" t="s">
        <v>190</v>
      </c>
      <c r="BH74" s="47" t="s">
        <v>191</v>
      </c>
    </row>
    <row r="75" spans="1:61" s="20" customFormat="1" ht="13.5" customHeight="1" x14ac:dyDescent="0.3">
      <c r="A75" s="36" t="s">
        <v>99</v>
      </c>
      <c r="B75" s="36" t="s">
        <v>107</v>
      </c>
      <c r="C75" s="44" t="s">
        <v>223</v>
      </c>
      <c r="D75" s="38">
        <v>2021</v>
      </c>
      <c r="E75" s="36">
        <v>63</v>
      </c>
      <c r="F75" s="20">
        <v>0</v>
      </c>
      <c r="H75" s="20" t="s">
        <v>521</v>
      </c>
      <c r="J75" s="20">
        <v>15</v>
      </c>
      <c r="BG75" s="35" t="s">
        <v>144</v>
      </c>
      <c r="BH75" s="31">
        <v>1</v>
      </c>
    </row>
    <row r="76" spans="1:61" s="20" customFormat="1" ht="13.5" customHeight="1" x14ac:dyDescent="0.3">
      <c r="A76" s="36" t="s">
        <v>99</v>
      </c>
      <c r="B76" s="36" t="s">
        <v>107</v>
      </c>
      <c r="C76" s="44" t="s">
        <v>223</v>
      </c>
      <c r="D76" s="38">
        <v>2021</v>
      </c>
      <c r="E76" s="36">
        <v>63</v>
      </c>
      <c r="H76" s="20" t="s">
        <v>520</v>
      </c>
      <c r="J76" s="20">
        <v>15</v>
      </c>
      <c r="BG76" s="45" t="s">
        <v>140</v>
      </c>
      <c r="BH76" s="31">
        <v>1</v>
      </c>
    </row>
    <row r="77" spans="1:61" s="20" customFormat="1" ht="13.5" customHeight="1" x14ac:dyDescent="0.3">
      <c r="A77" s="36" t="s">
        <v>99</v>
      </c>
      <c r="B77" s="36" t="s">
        <v>107</v>
      </c>
      <c r="C77" s="44" t="s">
        <v>223</v>
      </c>
      <c r="D77" s="38">
        <v>2021</v>
      </c>
      <c r="E77" s="36">
        <v>63</v>
      </c>
      <c r="H77" s="20" t="s">
        <v>520</v>
      </c>
      <c r="J77" s="20">
        <v>15</v>
      </c>
      <c r="BG77" s="43" t="s">
        <v>158</v>
      </c>
      <c r="BH77" s="31">
        <v>1</v>
      </c>
    </row>
    <row r="78" spans="1:61" s="20" customFormat="1" ht="13.5" customHeight="1" x14ac:dyDescent="0.3">
      <c r="A78" s="36" t="s">
        <v>99</v>
      </c>
      <c r="B78" s="36" t="s">
        <v>107</v>
      </c>
      <c r="C78" s="44" t="s">
        <v>223</v>
      </c>
      <c r="D78" s="38">
        <v>2021</v>
      </c>
      <c r="E78" s="36">
        <v>63</v>
      </c>
      <c r="BG78" s="43" t="s">
        <v>218</v>
      </c>
      <c r="BH78" s="31">
        <v>1</v>
      </c>
    </row>
    <row r="79" spans="1:61" s="20" customFormat="1" ht="13.5" customHeight="1" x14ac:dyDescent="0.3">
      <c r="A79" s="36" t="s">
        <v>99</v>
      </c>
      <c r="B79" s="36" t="s">
        <v>107</v>
      </c>
      <c r="C79" s="44" t="s">
        <v>223</v>
      </c>
      <c r="D79" s="38">
        <v>2021</v>
      </c>
      <c r="E79" s="36">
        <v>63</v>
      </c>
      <c r="BG79" s="43" t="s">
        <v>197</v>
      </c>
      <c r="BH79" s="31">
        <v>1</v>
      </c>
    </row>
    <row r="80" spans="1:61" s="20" customFormat="1" ht="13.5" customHeight="1" x14ac:dyDescent="0.3">
      <c r="A80" s="36" t="s">
        <v>99</v>
      </c>
      <c r="B80" s="36" t="s">
        <v>107</v>
      </c>
      <c r="C80" s="44" t="s">
        <v>223</v>
      </c>
      <c r="D80" s="38">
        <v>2021</v>
      </c>
      <c r="E80" s="36">
        <v>63</v>
      </c>
      <c r="BG80" s="35" t="s">
        <v>198</v>
      </c>
      <c r="BH80" s="31">
        <v>1</v>
      </c>
    </row>
    <row r="81" spans="1:60" s="20" customFormat="1" ht="13.5" customHeight="1" x14ac:dyDescent="0.3">
      <c r="A81" s="36" t="s">
        <v>99</v>
      </c>
      <c r="B81" s="36" t="s">
        <v>107</v>
      </c>
      <c r="C81" s="44" t="s">
        <v>223</v>
      </c>
      <c r="D81" s="38">
        <v>2021</v>
      </c>
      <c r="E81" s="36">
        <v>63</v>
      </c>
      <c r="BG81" s="43" t="s">
        <v>219</v>
      </c>
      <c r="BH81" s="31">
        <v>3</v>
      </c>
    </row>
    <row r="82" spans="1:60" s="20" customFormat="1" ht="13.5" customHeight="1" x14ac:dyDescent="0.3">
      <c r="A82" s="36" t="s">
        <v>99</v>
      </c>
      <c r="B82" s="36" t="s">
        <v>107</v>
      </c>
      <c r="C82" s="44" t="s">
        <v>223</v>
      </c>
      <c r="D82" s="38">
        <v>2021</v>
      </c>
      <c r="E82" s="36">
        <v>63</v>
      </c>
      <c r="BG82" s="43" t="s">
        <v>220</v>
      </c>
      <c r="BH82" s="31">
        <v>3</v>
      </c>
    </row>
    <row r="83" spans="1:60" s="20" customFormat="1" ht="13.5" customHeight="1" x14ac:dyDescent="0.3">
      <c r="A83" s="36" t="s">
        <v>99</v>
      </c>
      <c r="B83" s="36" t="s">
        <v>107</v>
      </c>
      <c r="C83" s="44" t="s">
        <v>223</v>
      </c>
      <c r="D83" s="38">
        <v>2021</v>
      </c>
      <c r="E83" s="36">
        <v>63</v>
      </c>
      <c r="BG83" s="43" t="s">
        <v>221</v>
      </c>
      <c r="BH83" s="31">
        <v>3</v>
      </c>
    </row>
    <row r="84" spans="1:60" s="16" customFormat="1" ht="13.5" customHeight="1" thickBot="1" x14ac:dyDescent="0.35">
      <c r="A84" s="15" t="s">
        <v>99</v>
      </c>
      <c r="B84" s="15" t="s">
        <v>107</v>
      </c>
      <c r="C84" s="27" t="s">
        <v>223</v>
      </c>
      <c r="D84" s="18">
        <v>2021</v>
      </c>
      <c r="E84" s="15">
        <v>63</v>
      </c>
      <c r="BG84" s="46" t="s">
        <v>222</v>
      </c>
      <c r="BH84" s="34">
        <v>3</v>
      </c>
    </row>
    <row r="85" spans="1:60" ht="13.5" customHeight="1" x14ac:dyDescent="0.3">
      <c r="A85" s="2" t="s">
        <v>99</v>
      </c>
      <c r="B85" s="2" t="s">
        <v>108</v>
      </c>
      <c r="C85" s="4" t="s">
        <v>203</v>
      </c>
      <c r="D85" s="3">
        <v>2021</v>
      </c>
      <c r="E85" s="2">
        <v>64</v>
      </c>
      <c r="BG85" s="12" t="s">
        <v>193</v>
      </c>
      <c r="BH85">
        <v>1</v>
      </c>
    </row>
    <row r="86" spans="1:60" ht="13.5" customHeight="1" x14ac:dyDescent="0.3">
      <c r="A86" s="2" t="s">
        <v>99</v>
      </c>
      <c r="B86" s="2" t="s">
        <v>108</v>
      </c>
      <c r="C86" s="4" t="s">
        <v>203</v>
      </c>
      <c r="D86" s="3">
        <v>2021</v>
      </c>
      <c r="E86" s="2">
        <v>64</v>
      </c>
      <c r="BG86" s="13" t="s">
        <v>140</v>
      </c>
      <c r="BH86">
        <v>1</v>
      </c>
    </row>
    <row r="87" spans="1:60" s="16" customFormat="1" ht="13.5" customHeight="1" thickBot="1" x14ac:dyDescent="0.35">
      <c r="A87" s="15" t="s">
        <v>99</v>
      </c>
      <c r="B87" s="15" t="s">
        <v>108</v>
      </c>
      <c r="C87" s="32" t="s">
        <v>203</v>
      </c>
      <c r="D87" s="18">
        <v>2021</v>
      </c>
      <c r="E87" s="15">
        <v>64</v>
      </c>
      <c r="BG87" s="33" t="s">
        <v>194</v>
      </c>
      <c r="BH87" s="16">
        <v>1</v>
      </c>
    </row>
    <row r="88" spans="1:60" s="20" customFormat="1" ht="13.5" customHeight="1" x14ac:dyDescent="0.3">
      <c r="A88" s="36" t="s">
        <v>99</v>
      </c>
      <c r="B88" s="36" t="s">
        <v>109</v>
      </c>
      <c r="C88" s="37" t="s">
        <v>205</v>
      </c>
      <c r="D88" s="38">
        <v>2021</v>
      </c>
      <c r="E88" s="36">
        <v>65</v>
      </c>
      <c r="F88" s="20">
        <v>0</v>
      </c>
      <c r="H88" s="26" t="s">
        <v>514</v>
      </c>
      <c r="I88" s="3" t="s">
        <v>513</v>
      </c>
      <c r="BG88" s="13" t="s">
        <v>179</v>
      </c>
      <c r="BH88" s="20">
        <v>1</v>
      </c>
    </row>
    <row r="89" spans="1:60" s="20" customFormat="1" ht="13.5" customHeight="1" x14ac:dyDescent="0.3">
      <c r="A89" s="36" t="s">
        <v>99</v>
      </c>
      <c r="B89" s="36" t="s">
        <v>109</v>
      </c>
      <c r="C89" s="37" t="s">
        <v>205</v>
      </c>
      <c r="D89" s="38">
        <v>2021</v>
      </c>
      <c r="E89" s="36">
        <v>65</v>
      </c>
      <c r="BG89" s="13" t="s">
        <v>180</v>
      </c>
      <c r="BH89" s="20">
        <v>1</v>
      </c>
    </row>
    <row r="90" spans="1:60" s="20" customFormat="1" ht="13.5" customHeight="1" x14ac:dyDescent="0.3">
      <c r="A90" s="36" t="s">
        <v>99</v>
      </c>
      <c r="B90" s="36" t="s">
        <v>109</v>
      </c>
      <c r="C90" s="37" t="s">
        <v>205</v>
      </c>
      <c r="D90" s="38">
        <v>2021</v>
      </c>
      <c r="E90" s="36">
        <v>65</v>
      </c>
      <c r="BG90" s="13" t="s">
        <v>178</v>
      </c>
      <c r="BH90" s="20">
        <v>1</v>
      </c>
    </row>
    <row r="91" spans="1:60" s="16" customFormat="1" ht="13.5" customHeight="1" thickBot="1" x14ac:dyDescent="0.35">
      <c r="A91" s="15" t="s">
        <v>99</v>
      </c>
      <c r="B91" s="15" t="s">
        <v>109</v>
      </c>
      <c r="C91" s="32" t="s">
        <v>205</v>
      </c>
      <c r="D91" s="18">
        <v>2021</v>
      </c>
      <c r="E91" s="15">
        <v>65</v>
      </c>
      <c r="BG91" s="29" t="s">
        <v>181</v>
      </c>
      <c r="BH91" s="48" t="s">
        <v>191</v>
      </c>
    </row>
    <row r="92" spans="1:60" ht="13.5" customHeight="1" x14ac:dyDescent="0.3">
      <c r="A92" s="2" t="s">
        <v>99</v>
      </c>
      <c r="B92" s="2" t="s">
        <v>110</v>
      </c>
      <c r="C92" s="4" t="s">
        <v>204</v>
      </c>
      <c r="D92" s="3">
        <v>2025</v>
      </c>
      <c r="E92" s="2">
        <v>66</v>
      </c>
      <c r="BG92" s="13" t="s">
        <v>140</v>
      </c>
      <c r="BH92">
        <v>1</v>
      </c>
    </row>
    <row r="93" spans="1:60" ht="13.5" customHeight="1" x14ac:dyDescent="0.3">
      <c r="A93" s="2" t="s">
        <v>99</v>
      </c>
      <c r="B93" s="2" t="s">
        <v>110</v>
      </c>
      <c r="C93" s="4" t="s">
        <v>204</v>
      </c>
      <c r="D93" s="3">
        <v>2025</v>
      </c>
      <c r="E93" s="2">
        <v>66</v>
      </c>
      <c r="BG93" s="13" t="s">
        <v>199</v>
      </c>
      <c r="BH93">
        <v>1</v>
      </c>
    </row>
    <row r="94" spans="1:60" ht="15" customHeight="1" x14ac:dyDescent="0.3">
      <c r="A94" s="2" t="s">
        <v>99</v>
      </c>
      <c r="B94" s="2" t="s">
        <v>110</v>
      </c>
      <c r="C94" s="4" t="s">
        <v>204</v>
      </c>
      <c r="D94" s="3">
        <v>2025</v>
      </c>
      <c r="E94" s="2">
        <v>66</v>
      </c>
      <c r="BG94" t="s">
        <v>197</v>
      </c>
      <c r="BH94">
        <v>1</v>
      </c>
    </row>
    <row r="95" spans="1:60" ht="13.5" customHeight="1" x14ac:dyDescent="0.3">
      <c r="A95" s="2" t="s">
        <v>99</v>
      </c>
      <c r="B95" s="2" t="s">
        <v>110</v>
      </c>
      <c r="C95" s="4" t="s">
        <v>204</v>
      </c>
      <c r="D95" s="3">
        <v>2025</v>
      </c>
      <c r="E95" s="2">
        <v>66</v>
      </c>
      <c r="BG95" t="s">
        <v>198</v>
      </c>
      <c r="BH95">
        <v>1</v>
      </c>
    </row>
    <row r="96" spans="1:60" ht="13.5" customHeight="1" x14ac:dyDescent="0.3">
      <c r="A96" s="2" t="s">
        <v>99</v>
      </c>
      <c r="B96" s="2" t="s">
        <v>110</v>
      </c>
      <c r="C96" s="4" t="s">
        <v>204</v>
      </c>
      <c r="D96" s="3">
        <v>2025</v>
      </c>
      <c r="E96" s="2">
        <v>66</v>
      </c>
      <c r="BG96" t="s">
        <v>200</v>
      </c>
      <c r="BH96" s="39" t="s">
        <v>191</v>
      </c>
    </row>
    <row r="97" spans="1:60" ht="13.5" customHeight="1" x14ac:dyDescent="0.3">
      <c r="A97" s="2" t="s">
        <v>99</v>
      </c>
      <c r="B97" s="2" t="s">
        <v>110</v>
      </c>
      <c r="C97" s="4" t="s">
        <v>204</v>
      </c>
      <c r="D97" s="3">
        <v>2025</v>
      </c>
      <c r="E97" s="2">
        <v>66</v>
      </c>
      <c r="BG97" t="s">
        <v>201</v>
      </c>
      <c r="BH97" s="39" t="s">
        <v>191</v>
      </c>
    </row>
    <row r="98" spans="1:60" s="16" customFormat="1" ht="13.5" customHeight="1" thickBot="1" x14ac:dyDescent="0.35">
      <c r="A98" s="15" t="s">
        <v>99</v>
      </c>
      <c r="B98" s="15" t="s">
        <v>110</v>
      </c>
      <c r="C98" s="32" t="s">
        <v>204</v>
      </c>
      <c r="D98" s="18">
        <v>2025</v>
      </c>
      <c r="E98" s="15">
        <v>66</v>
      </c>
      <c r="BG98" s="16" t="s">
        <v>202</v>
      </c>
      <c r="BH98" s="48" t="s">
        <v>191</v>
      </c>
    </row>
    <row r="99" spans="1:60" ht="13.5" customHeight="1" x14ac:dyDescent="0.3">
      <c r="A99" s="2" t="s">
        <v>99</v>
      </c>
      <c r="B99" s="2" t="s">
        <v>111</v>
      </c>
      <c r="C99" s="4" t="s">
        <v>196</v>
      </c>
      <c r="D99" s="3">
        <v>2023</v>
      </c>
      <c r="E99" s="2">
        <v>67</v>
      </c>
      <c r="H99" t="s">
        <v>522</v>
      </c>
      <c r="BG99" s="13" t="s">
        <v>140</v>
      </c>
      <c r="BH99">
        <v>1</v>
      </c>
    </row>
    <row r="100" spans="1:60" ht="13.5" customHeight="1" x14ac:dyDescent="0.3">
      <c r="A100" s="2" t="s">
        <v>99</v>
      </c>
      <c r="B100" s="2" t="s">
        <v>111</v>
      </c>
      <c r="C100" s="4" t="s">
        <v>196</v>
      </c>
      <c r="D100" s="3">
        <v>2023</v>
      </c>
      <c r="E100" s="2">
        <v>67</v>
      </c>
      <c r="BG100" s="35" t="s">
        <v>194</v>
      </c>
      <c r="BH100">
        <v>1</v>
      </c>
    </row>
    <row r="101" spans="1:60" s="16" customFormat="1" ht="13.5" customHeight="1" thickBot="1" x14ac:dyDescent="0.35">
      <c r="A101" s="15" t="s">
        <v>99</v>
      </c>
      <c r="B101" s="15" t="s">
        <v>111</v>
      </c>
      <c r="C101" s="32" t="s">
        <v>196</v>
      </c>
      <c r="D101" s="18">
        <v>2023</v>
      </c>
      <c r="E101" s="15">
        <v>67</v>
      </c>
      <c r="BG101" s="33" t="s">
        <v>195</v>
      </c>
      <c r="BH101" s="16">
        <v>3</v>
      </c>
    </row>
    <row r="102" spans="1:60" ht="13.5" customHeight="1" x14ac:dyDescent="0.3">
      <c r="A102" s="2" t="s">
        <v>99</v>
      </c>
      <c r="B102" s="2" t="s">
        <v>112</v>
      </c>
      <c r="C102" s="39" t="s">
        <v>217</v>
      </c>
      <c r="D102" s="3">
        <v>2025</v>
      </c>
      <c r="E102" s="2">
        <v>68</v>
      </c>
      <c r="F102">
        <v>0</v>
      </c>
      <c r="G102">
        <v>1</v>
      </c>
      <c r="BG102" s="41" t="s">
        <v>144</v>
      </c>
      <c r="BH102" s="20">
        <v>1</v>
      </c>
    </row>
    <row r="103" spans="1:60" ht="15" customHeight="1" x14ac:dyDescent="0.3">
      <c r="A103" s="2" t="s">
        <v>99</v>
      </c>
      <c r="B103" s="2" t="s">
        <v>112</v>
      </c>
      <c r="C103" s="39" t="s">
        <v>217</v>
      </c>
      <c r="D103" s="3">
        <v>2025</v>
      </c>
      <c r="E103" s="2">
        <v>68</v>
      </c>
      <c r="BG103" s="12" t="s">
        <v>193</v>
      </c>
      <c r="BH103" s="20">
        <v>1</v>
      </c>
    </row>
    <row r="104" spans="1:60" ht="13.5" customHeight="1" x14ac:dyDescent="0.3">
      <c r="A104" s="2" t="s">
        <v>99</v>
      </c>
      <c r="B104" s="2" t="s">
        <v>112</v>
      </c>
      <c r="C104" s="39" t="s">
        <v>217</v>
      </c>
      <c r="D104" s="3">
        <v>2025</v>
      </c>
      <c r="E104" s="2">
        <v>68</v>
      </c>
      <c r="BG104" s="12" t="s">
        <v>206</v>
      </c>
      <c r="BH104" s="20">
        <v>1</v>
      </c>
    </row>
    <row r="105" spans="1:60" ht="13.5" customHeight="1" x14ac:dyDescent="0.3">
      <c r="A105" s="2" t="s">
        <v>99</v>
      </c>
      <c r="B105" s="2" t="s">
        <v>112</v>
      </c>
      <c r="C105" s="39" t="s">
        <v>217</v>
      </c>
      <c r="D105" s="3">
        <v>2025</v>
      </c>
      <c r="E105" s="2">
        <v>68</v>
      </c>
      <c r="BG105" s="13" t="s">
        <v>143</v>
      </c>
      <c r="BH105" s="20">
        <v>1</v>
      </c>
    </row>
    <row r="106" spans="1:60" ht="13.5" customHeight="1" x14ac:dyDescent="0.3">
      <c r="A106" s="2" t="s">
        <v>99</v>
      </c>
      <c r="B106" s="2" t="s">
        <v>112</v>
      </c>
      <c r="C106" s="39" t="s">
        <v>217</v>
      </c>
      <c r="D106" s="3">
        <v>2025</v>
      </c>
      <c r="E106" s="2">
        <v>68</v>
      </c>
      <c r="BG106" s="12" t="s">
        <v>207</v>
      </c>
      <c r="BH106" s="20">
        <v>1</v>
      </c>
    </row>
    <row r="107" spans="1:60" ht="13.5" customHeight="1" x14ac:dyDescent="0.3">
      <c r="A107" s="2" t="s">
        <v>99</v>
      </c>
      <c r="B107" s="2" t="s">
        <v>112</v>
      </c>
      <c r="C107" s="39" t="s">
        <v>217</v>
      </c>
      <c r="D107" s="3">
        <v>2025</v>
      </c>
      <c r="E107" s="2">
        <v>68</v>
      </c>
      <c r="BG107" s="41" t="s">
        <v>159</v>
      </c>
      <c r="BH107" s="20">
        <v>1</v>
      </c>
    </row>
    <row r="108" spans="1:60" ht="13.5" customHeight="1" x14ac:dyDescent="0.3">
      <c r="A108" s="2" t="s">
        <v>99</v>
      </c>
      <c r="B108" s="2" t="s">
        <v>112</v>
      </c>
      <c r="C108" s="39" t="s">
        <v>217</v>
      </c>
      <c r="D108" s="3">
        <v>2025</v>
      </c>
      <c r="E108" s="2">
        <v>68</v>
      </c>
      <c r="BG108" s="41" t="s">
        <v>208</v>
      </c>
      <c r="BH108" s="20">
        <v>1</v>
      </c>
    </row>
    <row r="109" spans="1:60" ht="13.5" customHeight="1" x14ac:dyDescent="0.3">
      <c r="A109" s="2" t="s">
        <v>99</v>
      </c>
      <c r="B109" s="2" t="s">
        <v>112</v>
      </c>
      <c r="C109" s="39" t="s">
        <v>217</v>
      </c>
      <c r="D109" s="3">
        <v>2025</v>
      </c>
      <c r="E109" s="2">
        <v>68</v>
      </c>
      <c r="BG109" s="12" t="s">
        <v>209</v>
      </c>
      <c r="BH109" s="20">
        <v>1</v>
      </c>
    </row>
    <row r="110" spans="1:60" ht="13.5" customHeight="1" x14ac:dyDescent="0.3">
      <c r="A110" s="2" t="s">
        <v>99</v>
      </c>
      <c r="B110" s="2" t="s">
        <v>112</v>
      </c>
      <c r="C110" s="39" t="s">
        <v>217</v>
      </c>
      <c r="D110" s="3">
        <v>2025</v>
      </c>
      <c r="E110" s="2">
        <v>68</v>
      </c>
      <c r="BG110" s="28" t="s">
        <v>210</v>
      </c>
      <c r="BH110" s="20">
        <v>3</v>
      </c>
    </row>
    <row r="111" spans="1:60" ht="13.5" customHeight="1" x14ac:dyDescent="0.3">
      <c r="A111" s="2" t="s">
        <v>99</v>
      </c>
      <c r="B111" s="2" t="s">
        <v>112</v>
      </c>
      <c r="C111" s="39" t="s">
        <v>217</v>
      </c>
      <c r="D111" s="3">
        <v>2025</v>
      </c>
      <c r="E111" s="2">
        <v>68</v>
      </c>
      <c r="BG111" s="28" t="s">
        <v>211</v>
      </c>
      <c r="BH111" s="20">
        <v>3</v>
      </c>
    </row>
    <row r="112" spans="1:60" ht="13.5" customHeight="1" x14ac:dyDescent="0.3">
      <c r="A112" s="2" t="s">
        <v>99</v>
      </c>
      <c r="B112" s="2" t="s">
        <v>112</v>
      </c>
      <c r="C112" s="39" t="s">
        <v>217</v>
      </c>
      <c r="D112" s="3">
        <v>2025</v>
      </c>
      <c r="E112" s="2">
        <v>68</v>
      </c>
      <c r="BG112" s="28" t="s">
        <v>181</v>
      </c>
      <c r="BH112" s="20">
        <v>3</v>
      </c>
    </row>
    <row r="113" spans="1:60" ht="13.5" customHeight="1" x14ac:dyDescent="0.3">
      <c r="A113" s="2" t="s">
        <v>99</v>
      </c>
      <c r="B113" s="2" t="s">
        <v>112</v>
      </c>
      <c r="C113" s="39" t="s">
        <v>217</v>
      </c>
      <c r="D113" s="3">
        <v>2025</v>
      </c>
      <c r="E113" s="2">
        <v>68</v>
      </c>
      <c r="BG113" s="28" t="s">
        <v>212</v>
      </c>
      <c r="BH113" s="42" t="s">
        <v>191</v>
      </c>
    </row>
    <row r="114" spans="1:60" ht="13.5" customHeight="1" x14ac:dyDescent="0.3">
      <c r="A114" s="2" t="s">
        <v>99</v>
      </c>
      <c r="B114" s="2" t="s">
        <v>112</v>
      </c>
      <c r="C114" s="39" t="s">
        <v>217</v>
      </c>
      <c r="D114" s="3">
        <v>2025</v>
      </c>
      <c r="E114" s="2">
        <v>68</v>
      </c>
      <c r="BG114" s="28" t="s">
        <v>214</v>
      </c>
      <c r="BH114" s="42" t="s">
        <v>191</v>
      </c>
    </row>
    <row r="115" spans="1:60" ht="13.5" customHeight="1" x14ac:dyDescent="0.3">
      <c r="A115" s="2" t="s">
        <v>99</v>
      </c>
      <c r="B115" s="2" t="s">
        <v>112</v>
      </c>
      <c r="C115" s="39" t="s">
        <v>217</v>
      </c>
      <c r="D115" s="3">
        <v>2025</v>
      </c>
      <c r="E115" s="2">
        <v>68</v>
      </c>
      <c r="BG115" s="28" t="s">
        <v>215</v>
      </c>
      <c r="BH115" s="42" t="s">
        <v>191</v>
      </c>
    </row>
    <row r="116" spans="1:60" ht="13.5" customHeight="1" x14ac:dyDescent="0.3">
      <c r="A116" s="2" t="s">
        <v>99</v>
      </c>
      <c r="B116" s="2" t="s">
        <v>112</v>
      </c>
      <c r="C116" s="39" t="s">
        <v>217</v>
      </c>
      <c r="D116" s="3">
        <v>2025</v>
      </c>
      <c r="E116" s="2">
        <v>68</v>
      </c>
      <c r="BG116" s="28" t="s">
        <v>216</v>
      </c>
      <c r="BH116" s="42" t="s">
        <v>191</v>
      </c>
    </row>
    <row r="117" spans="1:60" s="64" customFormat="1" ht="13.5" customHeight="1" x14ac:dyDescent="0.3">
      <c r="A117" s="102" t="s">
        <v>99</v>
      </c>
      <c r="B117" s="102" t="s">
        <v>112</v>
      </c>
      <c r="C117" s="90" t="s">
        <v>217</v>
      </c>
      <c r="D117" s="91">
        <v>2025</v>
      </c>
      <c r="E117" s="102">
        <v>68</v>
      </c>
      <c r="BG117" s="103" t="s">
        <v>213</v>
      </c>
      <c r="BH117" s="104" t="s">
        <v>191</v>
      </c>
    </row>
    <row r="118" spans="1:60" s="20" customFormat="1" ht="13.5" customHeight="1" x14ac:dyDescent="0.3">
      <c r="A118" s="68" t="s">
        <v>99</v>
      </c>
      <c r="B118" s="68" t="s">
        <v>499</v>
      </c>
      <c r="C118" s="101" t="s">
        <v>500</v>
      </c>
      <c r="D118" s="68">
        <v>2025</v>
      </c>
      <c r="E118" s="36"/>
      <c r="G118" s="20">
        <v>1</v>
      </c>
      <c r="H118" s="20" t="s">
        <v>512</v>
      </c>
      <c r="I118" s="20" t="s">
        <v>513</v>
      </c>
      <c r="BG118" s="105" t="s">
        <v>501</v>
      </c>
      <c r="BH118" s="53">
        <v>1</v>
      </c>
    </row>
    <row r="119" spans="1:60" s="20" customFormat="1" ht="13.5" customHeight="1" x14ac:dyDescent="0.3">
      <c r="A119" s="68" t="s">
        <v>99</v>
      </c>
      <c r="B119" s="68" t="s">
        <v>499</v>
      </c>
      <c r="C119" s="101" t="s">
        <v>500</v>
      </c>
      <c r="D119" s="68">
        <v>2026</v>
      </c>
      <c r="E119" s="36"/>
      <c r="BG119" s="105" t="s">
        <v>502</v>
      </c>
      <c r="BH119" s="53">
        <v>1</v>
      </c>
    </row>
    <row r="120" spans="1:60" s="20" customFormat="1" ht="13.5" customHeight="1" x14ac:dyDescent="0.3">
      <c r="A120" s="68" t="s">
        <v>99</v>
      </c>
      <c r="B120" s="68" t="s">
        <v>499</v>
      </c>
      <c r="C120" s="101" t="s">
        <v>500</v>
      </c>
      <c r="D120" s="68">
        <v>2027</v>
      </c>
      <c r="E120" s="36"/>
      <c r="BG120" s="105" t="s">
        <v>503</v>
      </c>
      <c r="BH120" s="53">
        <v>1</v>
      </c>
    </row>
    <row r="121" spans="1:60" s="20" customFormat="1" ht="13.5" customHeight="1" x14ac:dyDescent="0.3">
      <c r="A121" s="68" t="s">
        <v>99</v>
      </c>
      <c r="B121" s="68" t="s">
        <v>499</v>
      </c>
      <c r="C121" s="101" t="s">
        <v>500</v>
      </c>
      <c r="D121" s="68">
        <v>2028</v>
      </c>
      <c r="E121" s="36"/>
      <c r="BG121" s="105" t="s">
        <v>504</v>
      </c>
      <c r="BH121" s="53">
        <v>1</v>
      </c>
    </row>
    <row r="122" spans="1:60" s="20" customFormat="1" ht="13.5" customHeight="1" x14ac:dyDescent="0.3">
      <c r="A122" s="68" t="s">
        <v>99</v>
      </c>
      <c r="B122" s="68" t="s">
        <v>499</v>
      </c>
      <c r="C122" s="101" t="s">
        <v>500</v>
      </c>
      <c r="D122" s="68">
        <v>2029</v>
      </c>
      <c r="E122" s="36"/>
      <c r="BG122" s="106" t="s">
        <v>505</v>
      </c>
      <c r="BH122" s="53">
        <v>3</v>
      </c>
    </row>
    <row r="123" spans="1:60" s="20" customFormat="1" ht="13.5" customHeight="1" x14ac:dyDescent="0.3">
      <c r="A123" s="68" t="s">
        <v>99</v>
      </c>
      <c r="B123" s="68" t="s">
        <v>499</v>
      </c>
      <c r="C123" s="101" t="s">
        <v>500</v>
      </c>
      <c r="D123" s="68">
        <v>2030</v>
      </c>
      <c r="E123" s="36"/>
      <c r="BG123" s="105" t="s">
        <v>506</v>
      </c>
      <c r="BH123" s="53">
        <v>1</v>
      </c>
    </row>
    <row r="124" spans="1:60" s="20" customFormat="1" ht="13.5" customHeight="1" x14ac:dyDescent="0.3">
      <c r="A124" s="68" t="s">
        <v>99</v>
      </c>
      <c r="B124" s="68" t="s">
        <v>499</v>
      </c>
      <c r="C124" s="101" t="s">
        <v>500</v>
      </c>
      <c r="D124" s="68">
        <v>2031</v>
      </c>
      <c r="E124" s="36"/>
      <c r="BG124" s="105" t="s">
        <v>507</v>
      </c>
      <c r="BH124" s="53">
        <v>1</v>
      </c>
    </row>
    <row r="125" spans="1:60" s="20" customFormat="1" ht="13.5" customHeight="1" x14ac:dyDescent="0.3">
      <c r="A125" s="68" t="s">
        <v>99</v>
      </c>
      <c r="B125" s="68" t="s">
        <v>499</v>
      </c>
      <c r="C125" s="101" t="s">
        <v>500</v>
      </c>
      <c r="D125" s="68">
        <v>2032</v>
      </c>
      <c r="E125" s="36"/>
      <c r="BG125" s="106" t="s">
        <v>294</v>
      </c>
      <c r="BH125" s="53">
        <v>1</v>
      </c>
    </row>
    <row r="126" spans="1:60" s="20" customFormat="1" ht="13.5" customHeight="1" x14ac:dyDescent="0.3">
      <c r="A126" s="68" t="s">
        <v>99</v>
      </c>
      <c r="B126" s="68" t="s">
        <v>499</v>
      </c>
      <c r="C126" s="101" t="s">
        <v>500</v>
      </c>
      <c r="D126" s="68">
        <v>2033</v>
      </c>
      <c r="E126" s="36"/>
      <c r="BG126" s="105" t="s">
        <v>508</v>
      </c>
      <c r="BH126" s="53">
        <v>3</v>
      </c>
    </row>
    <row r="127" spans="1:60" s="20" customFormat="1" ht="13.5" customHeight="1" x14ac:dyDescent="0.3">
      <c r="A127" s="68" t="s">
        <v>99</v>
      </c>
      <c r="B127" s="68" t="s">
        <v>499</v>
      </c>
      <c r="C127" s="101" t="s">
        <v>500</v>
      </c>
      <c r="D127" s="68">
        <v>2034</v>
      </c>
      <c r="E127" s="36"/>
      <c r="BG127" s="105" t="s">
        <v>509</v>
      </c>
      <c r="BH127" s="53">
        <v>3</v>
      </c>
    </row>
    <row r="128" spans="1:60" s="20" customFormat="1" ht="13.5" customHeight="1" x14ac:dyDescent="0.3">
      <c r="A128" s="68" t="s">
        <v>99</v>
      </c>
      <c r="B128" s="68" t="s">
        <v>499</v>
      </c>
      <c r="C128" s="101" t="s">
        <v>500</v>
      </c>
      <c r="D128" s="68">
        <v>2035</v>
      </c>
      <c r="E128" s="36"/>
      <c r="BG128" s="105" t="s">
        <v>510</v>
      </c>
      <c r="BH128" s="53">
        <v>3</v>
      </c>
    </row>
    <row r="129" spans="1:60" s="64" customFormat="1" ht="13.5" customHeight="1" x14ac:dyDescent="0.3">
      <c r="A129" s="71" t="s">
        <v>99</v>
      </c>
      <c r="B129" s="71" t="s">
        <v>499</v>
      </c>
      <c r="C129" s="107" t="s">
        <v>500</v>
      </c>
      <c r="D129" s="71">
        <v>2036</v>
      </c>
      <c r="E129" s="102"/>
      <c r="BG129" s="108" t="s">
        <v>511</v>
      </c>
      <c r="BH129" s="104">
        <v>3</v>
      </c>
    </row>
    <row r="130" spans="1:60" ht="13.5" customHeight="1" x14ac:dyDescent="0.3">
      <c r="A130" s="39" t="s">
        <v>115</v>
      </c>
      <c r="B130" t="s">
        <v>224</v>
      </c>
      <c r="C130" s="39" t="s">
        <v>238</v>
      </c>
      <c r="D130" s="3" t="s">
        <v>233</v>
      </c>
      <c r="E130" s="39">
        <v>69</v>
      </c>
      <c r="BG130" t="s">
        <v>144</v>
      </c>
      <c r="BH130">
        <v>1</v>
      </c>
    </row>
    <row r="131" spans="1:60" ht="13.5" customHeight="1" x14ac:dyDescent="0.3">
      <c r="A131" s="39" t="s">
        <v>115</v>
      </c>
      <c r="B131" t="s">
        <v>224</v>
      </c>
      <c r="C131" s="39" t="s">
        <v>238</v>
      </c>
      <c r="D131" s="3" t="s">
        <v>233</v>
      </c>
      <c r="E131" s="39">
        <v>69</v>
      </c>
      <c r="BG131" s="39" t="s">
        <v>236</v>
      </c>
      <c r="BH131">
        <v>1</v>
      </c>
    </row>
    <row r="132" spans="1:60" s="16" customFormat="1" ht="13.5" customHeight="1" thickBot="1" x14ac:dyDescent="0.35">
      <c r="A132" s="48" t="s">
        <v>115</v>
      </c>
      <c r="B132" s="16" t="s">
        <v>224</v>
      </c>
      <c r="C132" s="48" t="s">
        <v>238</v>
      </c>
      <c r="D132" s="18" t="s">
        <v>233</v>
      </c>
      <c r="E132" s="48">
        <v>69</v>
      </c>
      <c r="BG132" s="50" t="s">
        <v>237</v>
      </c>
      <c r="BH132" s="16">
        <v>1</v>
      </c>
    </row>
    <row r="133" spans="1:60" ht="13.5" customHeight="1" x14ac:dyDescent="0.3">
      <c r="A133" s="39" t="s">
        <v>115</v>
      </c>
      <c r="B133" t="s">
        <v>225</v>
      </c>
      <c r="C133" s="39" t="s">
        <v>238</v>
      </c>
      <c r="D133" s="49" t="s">
        <v>234</v>
      </c>
      <c r="E133" s="39">
        <v>70</v>
      </c>
      <c r="BG133" t="s">
        <v>144</v>
      </c>
      <c r="BH133" s="20">
        <v>1</v>
      </c>
    </row>
    <row r="134" spans="1:60" ht="13.5" customHeight="1" x14ac:dyDescent="0.3">
      <c r="A134" s="39" t="s">
        <v>115</v>
      </c>
      <c r="B134" t="s">
        <v>225</v>
      </c>
      <c r="C134" s="39" t="s">
        <v>238</v>
      </c>
      <c r="D134" s="49" t="s">
        <v>234</v>
      </c>
      <c r="E134" s="39">
        <v>70</v>
      </c>
      <c r="BG134" s="39" t="s">
        <v>239</v>
      </c>
      <c r="BH134" s="20">
        <v>1</v>
      </c>
    </row>
    <row r="135" spans="1:60" s="16" customFormat="1" ht="13.5" customHeight="1" thickBot="1" x14ac:dyDescent="0.35">
      <c r="A135" s="48" t="s">
        <v>115</v>
      </c>
      <c r="B135" s="16" t="s">
        <v>225</v>
      </c>
      <c r="C135" s="48" t="s">
        <v>238</v>
      </c>
      <c r="D135" s="51" t="s">
        <v>234</v>
      </c>
      <c r="E135" s="48">
        <v>70</v>
      </c>
      <c r="BG135" s="50" t="s">
        <v>237</v>
      </c>
      <c r="BH135" s="16">
        <v>1</v>
      </c>
    </row>
    <row r="136" spans="1:60" ht="13.5" customHeight="1" x14ac:dyDescent="0.3">
      <c r="A136" s="39" t="s">
        <v>115</v>
      </c>
      <c r="B136" t="s">
        <v>226</v>
      </c>
      <c r="C136" s="39" t="s">
        <v>241</v>
      </c>
      <c r="D136" s="49">
        <v>2020</v>
      </c>
      <c r="E136" s="39">
        <v>71</v>
      </c>
      <c r="BG136" t="s">
        <v>240</v>
      </c>
      <c r="BH136" s="20">
        <v>1</v>
      </c>
    </row>
    <row r="137" spans="1:60" s="16" customFormat="1" ht="13.5" customHeight="1" thickBot="1" x14ac:dyDescent="0.35">
      <c r="A137" s="48" t="s">
        <v>115</v>
      </c>
      <c r="B137" s="16" t="s">
        <v>226</v>
      </c>
      <c r="C137" s="48" t="s">
        <v>241</v>
      </c>
      <c r="D137" s="51">
        <v>2021</v>
      </c>
      <c r="E137" s="48">
        <v>71</v>
      </c>
      <c r="BG137" s="16" t="s">
        <v>237</v>
      </c>
      <c r="BH137" s="16">
        <v>1</v>
      </c>
    </row>
    <row r="138" spans="1:60" ht="13.5" customHeight="1" x14ac:dyDescent="0.3">
      <c r="A138" s="39" t="s">
        <v>116</v>
      </c>
      <c r="B138" t="s">
        <v>227</v>
      </c>
      <c r="C138" s="39" t="s">
        <v>252</v>
      </c>
      <c r="D138" s="49" t="s">
        <v>235</v>
      </c>
      <c r="E138" s="39">
        <v>72</v>
      </c>
      <c r="BG138" s="13" t="s">
        <v>143</v>
      </c>
      <c r="BH138" s="20">
        <v>1</v>
      </c>
    </row>
    <row r="139" spans="1:60" ht="13.5" customHeight="1" x14ac:dyDescent="0.3">
      <c r="A139" s="39" t="s">
        <v>116</v>
      </c>
      <c r="B139" t="s">
        <v>227</v>
      </c>
      <c r="C139" s="39" t="s">
        <v>252</v>
      </c>
      <c r="D139" s="49" t="s">
        <v>235</v>
      </c>
      <c r="E139" s="39">
        <v>72</v>
      </c>
      <c r="BG139" s="20" t="s">
        <v>158</v>
      </c>
      <c r="BH139" s="20">
        <v>1</v>
      </c>
    </row>
    <row r="140" spans="1:60" ht="13.5" customHeight="1" x14ac:dyDescent="0.3">
      <c r="A140" s="39" t="s">
        <v>116</v>
      </c>
      <c r="B140" t="s">
        <v>227</v>
      </c>
      <c r="C140" s="39" t="s">
        <v>252</v>
      </c>
      <c r="D140" s="49" t="s">
        <v>235</v>
      </c>
      <c r="E140" s="39">
        <v>72</v>
      </c>
      <c r="BG140" s="52" t="s">
        <v>248</v>
      </c>
      <c r="BH140" s="20">
        <v>1</v>
      </c>
    </row>
    <row r="141" spans="1:60" ht="13.5" customHeight="1" x14ac:dyDescent="0.3">
      <c r="A141" s="39" t="s">
        <v>116</v>
      </c>
      <c r="B141" t="s">
        <v>227</v>
      </c>
      <c r="C141" s="39" t="s">
        <v>252</v>
      </c>
      <c r="D141" s="49" t="s">
        <v>235</v>
      </c>
      <c r="E141" s="39">
        <v>72</v>
      </c>
      <c r="BG141" s="39" t="s">
        <v>242</v>
      </c>
      <c r="BH141" s="20">
        <v>1</v>
      </c>
    </row>
    <row r="142" spans="1:60" ht="13.5" customHeight="1" x14ac:dyDescent="0.3">
      <c r="A142" s="39" t="s">
        <v>116</v>
      </c>
      <c r="B142" t="s">
        <v>227</v>
      </c>
      <c r="C142" s="39" t="s">
        <v>252</v>
      </c>
      <c r="D142" s="49" t="s">
        <v>235</v>
      </c>
      <c r="E142" s="39">
        <v>72</v>
      </c>
      <c r="BG142" s="39" t="s">
        <v>243</v>
      </c>
      <c r="BH142" s="20">
        <v>1</v>
      </c>
    </row>
    <row r="143" spans="1:60" ht="13.5" customHeight="1" x14ac:dyDescent="0.3">
      <c r="A143" s="39" t="s">
        <v>116</v>
      </c>
      <c r="B143" t="s">
        <v>227</v>
      </c>
      <c r="C143" s="39" t="s">
        <v>252</v>
      </c>
      <c r="D143" s="49" t="s">
        <v>235</v>
      </c>
      <c r="E143" s="39">
        <v>72</v>
      </c>
      <c r="BG143" s="39" t="s">
        <v>244</v>
      </c>
      <c r="BH143" s="20">
        <v>1</v>
      </c>
    </row>
    <row r="144" spans="1:60" ht="13.5" customHeight="1" x14ac:dyDescent="0.3">
      <c r="A144" s="39" t="s">
        <v>116</v>
      </c>
      <c r="B144" t="s">
        <v>227</v>
      </c>
      <c r="C144" s="39" t="s">
        <v>252</v>
      </c>
      <c r="D144" s="49" t="s">
        <v>235</v>
      </c>
      <c r="E144" s="39">
        <v>72</v>
      </c>
      <c r="BG144" s="39" t="s">
        <v>245</v>
      </c>
      <c r="BH144" s="20">
        <v>1</v>
      </c>
    </row>
    <row r="145" spans="1:60" ht="13.5" customHeight="1" x14ac:dyDescent="0.3">
      <c r="A145" s="39" t="s">
        <v>116</v>
      </c>
      <c r="B145" t="s">
        <v>227</v>
      </c>
      <c r="C145" s="39" t="s">
        <v>252</v>
      </c>
      <c r="D145" s="49" t="s">
        <v>235</v>
      </c>
      <c r="E145" s="39">
        <v>72</v>
      </c>
      <c r="BG145" s="39" t="s">
        <v>246</v>
      </c>
      <c r="BH145" s="20">
        <v>1</v>
      </c>
    </row>
    <row r="146" spans="1:60" ht="13.5" customHeight="1" x14ac:dyDescent="0.3">
      <c r="A146" s="39" t="s">
        <v>116</v>
      </c>
      <c r="B146" t="s">
        <v>227</v>
      </c>
      <c r="C146" s="39" t="s">
        <v>252</v>
      </c>
      <c r="D146" s="49" t="s">
        <v>235</v>
      </c>
      <c r="E146" s="39">
        <v>72</v>
      </c>
      <c r="BG146" s="39" t="s">
        <v>247</v>
      </c>
      <c r="BH146" s="20">
        <v>1</v>
      </c>
    </row>
    <row r="147" spans="1:60" ht="13.5" customHeight="1" x14ac:dyDescent="0.3">
      <c r="A147" s="39" t="s">
        <v>116</v>
      </c>
      <c r="B147" t="s">
        <v>227</v>
      </c>
      <c r="C147" s="39" t="s">
        <v>252</v>
      </c>
      <c r="D147" s="49" t="s">
        <v>235</v>
      </c>
      <c r="E147" s="39">
        <v>72</v>
      </c>
      <c r="BG147" s="39" t="s">
        <v>249</v>
      </c>
      <c r="BH147">
        <v>3</v>
      </c>
    </row>
    <row r="148" spans="1:60" ht="13.5" customHeight="1" x14ac:dyDescent="0.3">
      <c r="A148" s="39" t="s">
        <v>116</v>
      </c>
      <c r="B148" t="s">
        <v>227</v>
      </c>
      <c r="C148" s="39" t="s">
        <v>252</v>
      </c>
      <c r="D148" s="49" t="s">
        <v>235</v>
      </c>
      <c r="E148" s="39">
        <v>72</v>
      </c>
      <c r="BG148" s="39" t="s">
        <v>250</v>
      </c>
      <c r="BH148">
        <v>3</v>
      </c>
    </row>
    <row r="149" spans="1:60" s="16" customFormat="1" ht="13.5" customHeight="1" thickBot="1" x14ac:dyDescent="0.35">
      <c r="A149" s="48" t="s">
        <v>116</v>
      </c>
      <c r="B149" s="16" t="s">
        <v>227</v>
      </c>
      <c r="C149" s="48" t="s">
        <v>252</v>
      </c>
      <c r="D149" s="51" t="s">
        <v>235</v>
      </c>
      <c r="E149" s="48">
        <v>72</v>
      </c>
      <c r="BG149" s="48" t="s">
        <v>251</v>
      </c>
      <c r="BH149" s="16">
        <v>3</v>
      </c>
    </row>
    <row r="150" spans="1:60" ht="13.5" customHeight="1" x14ac:dyDescent="0.3">
      <c r="A150" s="39" t="s">
        <v>114</v>
      </c>
      <c r="B150" t="s">
        <v>228</v>
      </c>
      <c r="C150" s="39" t="s">
        <v>281</v>
      </c>
      <c r="D150" s="3">
        <v>2025</v>
      </c>
      <c r="E150" s="39">
        <v>73</v>
      </c>
      <c r="BG150" s="52" t="s">
        <v>279</v>
      </c>
      <c r="BH150" s="20">
        <v>3</v>
      </c>
    </row>
    <row r="151" spans="1:60" s="16" customFormat="1" ht="13.5" customHeight="1" thickBot="1" x14ac:dyDescent="0.35">
      <c r="A151" s="48" t="s">
        <v>114</v>
      </c>
      <c r="B151" s="16" t="s">
        <v>228</v>
      </c>
      <c r="C151" s="48" t="s">
        <v>281</v>
      </c>
      <c r="D151" s="18">
        <v>2025</v>
      </c>
      <c r="E151" s="48">
        <v>73</v>
      </c>
      <c r="BG151" s="48" t="s">
        <v>280</v>
      </c>
      <c r="BH151" s="16">
        <v>3</v>
      </c>
    </row>
    <row r="152" spans="1:60" ht="13.5" customHeight="1" x14ac:dyDescent="0.3">
      <c r="A152" s="39" t="s">
        <v>114</v>
      </c>
      <c r="B152" t="s">
        <v>229</v>
      </c>
      <c r="C152" s="39" t="s">
        <v>258</v>
      </c>
      <c r="D152" s="3">
        <v>2021</v>
      </c>
      <c r="E152" s="39">
        <v>74</v>
      </c>
      <c r="BG152" s="39" t="s">
        <v>253</v>
      </c>
      <c r="BH152">
        <v>1</v>
      </c>
    </row>
    <row r="153" spans="1:60" ht="13.5" customHeight="1" x14ac:dyDescent="0.3">
      <c r="A153" s="39" t="s">
        <v>114</v>
      </c>
      <c r="B153" t="s">
        <v>229</v>
      </c>
      <c r="C153" s="39" t="s">
        <v>258</v>
      </c>
      <c r="D153" s="3">
        <v>2021</v>
      </c>
      <c r="E153" s="39">
        <v>74</v>
      </c>
      <c r="BG153" s="39" t="s">
        <v>254</v>
      </c>
      <c r="BH153">
        <v>1</v>
      </c>
    </row>
    <row r="154" spans="1:60" ht="13.5" customHeight="1" x14ac:dyDescent="0.3">
      <c r="A154" s="39" t="s">
        <v>114</v>
      </c>
      <c r="B154" t="s">
        <v>229</v>
      </c>
      <c r="C154" s="39" t="s">
        <v>258</v>
      </c>
      <c r="D154" s="3">
        <v>2021</v>
      </c>
      <c r="E154" s="39">
        <v>74</v>
      </c>
      <c r="BG154" s="13" t="s">
        <v>141</v>
      </c>
      <c r="BH154">
        <v>1</v>
      </c>
    </row>
    <row r="155" spans="1:60" ht="13.5" customHeight="1" x14ac:dyDescent="0.3">
      <c r="A155" s="39" t="s">
        <v>114</v>
      </c>
      <c r="B155" t="s">
        <v>229</v>
      </c>
      <c r="C155" s="39" t="s">
        <v>258</v>
      </c>
      <c r="D155" s="3">
        <v>2021</v>
      </c>
      <c r="E155" s="39">
        <v>74</v>
      </c>
      <c r="BG155" s="13" t="s">
        <v>142</v>
      </c>
      <c r="BH155">
        <v>1</v>
      </c>
    </row>
    <row r="156" spans="1:60" ht="13.5" customHeight="1" x14ac:dyDescent="0.3">
      <c r="A156" s="39" t="s">
        <v>114</v>
      </c>
      <c r="B156" t="s">
        <v>229</v>
      </c>
      <c r="C156" s="39" t="s">
        <v>258</v>
      </c>
      <c r="D156" s="3">
        <v>2021</v>
      </c>
      <c r="E156" s="39">
        <v>74</v>
      </c>
      <c r="BG156" s="39" t="s">
        <v>255</v>
      </c>
      <c r="BH156">
        <v>1</v>
      </c>
    </row>
    <row r="157" spans="1:60" ht="13.5" customHeight="1" x14ac:dyDescent="0.3">
      <c r="A157" s="39" t="s">
        <v>114</v>
      </c>
      <c r="B157" t="s">
        <v>229</v>
      </c>
      <c r="C157" s="39" t="s">
        <v>258</v>
      </c>
      <c r="D157" s="3">
        <v>2021</v>
      </c>
      <c r="E157" s="39">
        <v>74</v>
      </c>
      <c r="BG157" s="39" t="s">
        <v>256</v>
      </c>
      <c r="BH157">
        <v>1</v>
      </c>
    </row>
    <row r="158" spans="1:60" s="16" customFormat="1" ht="13.5" customHeight="1" thickBot="1" x14ac:dyDescent="0.35">
      <c r="A158" s="48" t="s">
        <v>114</v>
      </c>
      <c r="B158" s="16" t="s">
        <v>229</v>
      </c>
      <c r="C158" s="48" t="s">
        <v>258</v>
      </c>
      <c r="D158" s="18">
        <v>2021</v>
      </c>
      <c r="E158" s="48">
        <v>74</v>
      </c>
      <c r="BG158" s="48" t="s">
        <v>257</v>
      </c>
      <c r="BH158" s="16">
        <v>1</v>
      </c>
    </row>
    <row r="159" spans="1:60" ht="13.5" customHeight="1" x14ac:dyDescent="0.3">
      <c r="A159" s="39" t="s">
        <v>114</v>
      </c>
      <c r="B159" s="39" t="s">
        <v>230</v>
      </c>
      <c r="C159" s="39" t="s">
        <v>278</v>
      </c>
      <c r="D159" s="3">
        <v>2024</v>
      </c>
      <c r="E159" s="39">
        <v>75</v>
      </c>
      <c r="BG159" s="39" t="s">
        <v>273</v>
      </c>
      <c r="BH159" s="20">
        <v>1</v>
      </c>
    </row>
    <row r="160" spans="1:60" ht="13.5" customHeight="1" x14ac:dyDescent="0.3">
      <c r="A160" s="39" t="s">
        <v>114</v>
      </c>
      <c r="B160" s="39" t="s">
        <v>230</v>
      </c>
      <c r="C160" s="39" t="s">
        <v>278</v>
      </c>
      <c r="D160" s="3">
        <v>2024</v>
      </c>
      <c r="E160" s="39">
        <v>75</v>
      </c>
      <c r="BG160" s="39" t="s">
        <v>274</v>
      </c>
      <c r="BH160" s="20">
        <v>1</v>
      </c>
    </row>
    <row r="161" spans="1:60" ht="13.5" customHeight="1" x14ac:dyDescent="0.3">
      <c r="A161" s="39" t="s">
        <v>114</v>
      </c>
      <c r="B161" s="39" t="s">
        <v>230</v>
      </c>
      <c r="C161" s="39" t="s">
        <v>278</v>
      </c>
      <c r="D161" s="3">
        <v>2024</v>
      </c>
      <c r="E161" s="39">
        <v>75</v>
      </c>
      <c r="BG161" s="39" t="s">
        <v>275</v>
      </c>
      <c r="BH161" s="20">
        <v>1</v>
      </c>
    </row>
    <row r="162" spans="1:60" ht="13.5" customHeight="1" x14ac:dyDescent="0.3">
      <c r="A162" s="39" t="s">
        <v>114</v>
      </c>
      <c r="B162" s="39" t="s">
        <v>230</v>
      </c>
      <c r="C162" s="39" t="s">
        <v>278</v>
      </c>
      <c r="D162" s="3">
        <v>2024</v>
      </c>
      <c r="E162" s="39">
        <v>75</v>
      </c>
      <c r="BG162" s="40" t="s">
        <v>276</v>
      </c>
      <c r="BH162" s="53" t="s">
        <v>191</v>
      </c>
    </row>
    <row r="163" spans="1:60" s="16" customFormat="1" ht="13.5" customHeight="1" thickBot="1" x14ac:dyDescent="0.35">
      <c r="A163" s="48" t="s">
        <v>114</v>
      </c>
      <c r="B163" s="48" t="s">
        <v>230</v>
      </c>
      <c r="C163" s="48" t="s">
        <v>278</v>
      </c>
      <c r="D163" s="18">
        <v>2024</v>
      </c>
      <c r="E163" s="48">
        <v>75</v>
      </c>
      <c r="BG163" s="48" t="s">
        <v>277</v>
      </c>
      <c r="BH163" s="16">
        <v>1</v>
      </c>
    </row>
    <row r="164" spans="1:60" ht="13.5" customHeight="1" x14ac:dyDescent="0.3">
      <c r="A164" s="39" t="s">
        <v>114</v>
      </c>
      <c r="B164" t="s">
        <v>231</v>
      </c>
      <c r="C164" s="39" t="s">
        <v>272</v>
      </c>
      <c r="D164" s="3">
        <v>2023</v>
      </c>
      <c r="E164" s="39">
        <v>76</v>
      </c>
      <c r="BG164" s="39" t="s">
        <v>270</v>
      </c>
      <c r="BH164">
        <v>1</v>
      </c>
    </row>
    <row r="165" spans="1:60" ht="13.5" customHeight="1" x14ac:dyDescent="0.3">
      <c r="A165" s="39" t="s">
        <v>114</v>
      </c>
      <c r="B165" t="s">
        <v>231</v>
      </c>
      <c r="C165" s="39" t="s">
        <v>272</v>
      </c>
      <c r="D165" s="3">
        <v>2023</v>
      </c>
      <c r="E165" s="39">
        <v>76</v>
      </c>
      <c r="BG165" s="39" t="s">
        <v>271</v>
      </c>
      <c r="BH165">
        <v>1</v>
      </c>
    </row>
    <row r="166" spans="1:60" ht="13.5" customHeight="1" x14ac:dyDescent="0.3">
      <c r="A166" s="39" t="s">
        <v>114</v>
      </c>
      <c r="B166" t="s">
        <v>231</v>
      </c>
      <c r="C166" s="39" t="s">
        <v>272</v>
      </c>
      <c r="D166" s="3">
        <v>2023</v>
      </c>
      <c r="E166" s="39">
        <v>76</v>
      </c>
      <c r="BG166" s="39" t="s">
        <v>265</v>
      </c>
      <c r="BH166">
        <v>1</v>
      </c>
    </row>
    <row r="167" spans="1:60" ht="13.5" customHeight="1" x14ac:dyDescent="0.3">
      <c r="A167" s="39" t="s">
        <v>114</v>
      </c>
      <c r="B167" t="s">
        <v>231</v>
      </c>
      <c r="C167" s="39" t="s">
        <v>272</v>
      </c>
      <c r="D167" s="3">
        <v>2023</v>
      </c>
      <c r="E167" s="39">
        <v>76</v>
      </c>
      <c r="BG167" s="39" t="s">
        <v>266</v>
      </c>
      <c r="BH167">
        <v>1</v>
      </c>
    </row>
    <row r="168" spans="1:60" ht="13.5" customHeight="1" x14ac:dyDescent="0.3">
      <c r="A168" s="39" t="s">
        <v>114</v>
      </c>
      <c r="B168" t="s">
        <v>231</v>
      </c>
      <c r="C168" s="39" t="s">
        <v>272</v>
      </c>
      <c r="D168" s="3">
        <v>2023</v>
      </c>
      <c r="E168" s="39">
        <v>76</v>
      </c>
      <c r="BG168" s="39" t="s">
        <v>267</v>
      </c>
      <c r="BH168">
        <v>1</v>
      </c>
    </row>
    <row r="169" spans="1:60" ht="13.5" customHeight="1" x14ac:dyDescent="0.3">
      <c r="A169" s="39" t="s">
        <v>114</v>
      </c>
      <c r="B169" t="s">
        <v>231</v>
      </c>
      <c r="C169" s="39" t="s">
        <v>272</v>
      </c>
      <c r="D169" s="3">
        <v>2023</v>
      </c>
      <c r="E169" s="39">
        <v>76</v>
      </c>
      <c r="BG169" s="39" t="s">
        <v>268</v>
      </c>
      <c r="BH169">
        <v>1</v>
      </c>
    </row>
    <row r="170" spans="1:60" ht="13.5" customHeight="1" x14ac:dyDescent="0.3">
      <c r="A170" s="39" t="s">
        <v>114</v>
      </c>
      <c r="B170" t="s">
        <v>231</v>
      </c>
      <c r="C170" s="39" t="s">
        <v>272</v>
      </c>
      <c r="D170" s="3">
        <v>2023</v>
      </c>
      <c r="E170" s="39">
        <v>76</v>
      </c>
      <c r="BG170" s="39" t="s">
        <v>269</v>
      </c>
      <c r="BH170">
        <v>1</v>
      </c>
    </row>
    <row r="171" spans="1:60" s="16" customFormat="1" ht="13.5" customHeight="1" thickBot="1" x14ac:dyDescent="0.35">
      <c r="A171" s="48" t="s">
        <v>114</v>
      </c>
      <c r="B171" s="16" t="s">
        <v>231</v>
      </c>
      <c r="C171" s="48" t="s">
        <v>272</v>
      </c>
      <c r="D171" s="18">
        <v>2023</v>
      </c>
      <c r="E171" s="48">
        <v>76</v>
      </c>
      <c r="BG171" s="48" t="s">
        <v>248</v>
      </c>
      <c r="BH171" s="16">
        <v>1</v>
      </c>
    </row>
    <row r="172" spans="1:60" ht="13.5" customHeight="1" x14ac:dyDescent="0.3">
      <c r="A172" s="39" t="s">
        <v>114</v>
      </c>
      <c r="B172" t="s">
        <v>232</v>
      </c>
      <c r="C172" s="39" t="s">
        <v>264</v>
      </c>
      <c r="D172" s="3">
        <v>2025</v>
      </c>
      <c r="E172" s="39">
        <v>77</v>
      </c>
      <c r="BG172" s="39" t="s">
        <v>259</v>
      </c>
      <c r="BH172">
        <v>0</v>
      </c>
    </row>
    <row r="173" spans="1:60" ht="13.5" customHeight="1" x14ac:dyDescent="0.3">
      <c r="A173" s="39" t="s">
        <v>114</v>
      </c>
      <c r="B173" t="s">
        <v>232</v>
      </c>
      <c r="C173" s="39" t="s">
        <v>264</v>
      </c>
      <c r="D173" s="3">
        <v>2025</v>
      </c>
      <c r="E173" s="39">
        <v>77</v>
      </c>
      <c r="BG173" s="39" t="s">
        <v>260</v>
      </c>
      <c r="BH173">
        <v>0</v>
      </c>
    </row>
    <row r="174" spans="1:60" ht="13.5" customHeight="1" x14ac:dyDescent="0.3">
      <c r="A174" s="39" t="s">
        <v>114</v>
      </c>
      <c r="B174" t="s">
        <v>232</v>
      </c>
      <c r="C174" s="39" t="s">
        <v>264</v>
      </c>
      <c r="D174" s="3">
        <v>2025</v>
      </c>
      <c r="E174" s="39">
        <v>77</v>
      </c>
      <c r="BG174" s="39" t="s">
        <v>262</v>
      </c>
      <c r="BH174">
        <v>0</v>
      </c>
    </row>
    <row r="175" spans="1:60" ht="13.5" customHeight="1" x14ac:dyDescent="0.3">
      <c r="A175" s="39" t="s">
        <v>114</v>
      </c>
      <c r="B175" t="s">
        <v>232</v>
      </c>
      <c r="C175" s="39" t="s">
        <v>264</v>
      </c>
      <c r="D175" s="3">
        <v>2025</v>
      </c>
      <c r="E175" s="39">
        <v>77</v>
      </c>
      <c r="BG175" s="39" t="s">
        <v>261</v>
      </c>
      <c r="BH175">
        <v>0</v>
      </c>
    </row>
    <row r="176" spans="1:60" ht="13.5" customHeight="1" x14ac:dyDescent="0.3">
      <c r="A176" s="39" t="s">
        <v>114</v>
      </c>
      <c r="B176" t="s">
        <v>232</v>
      </c>
      <c r="C176" s="39" t="s">
        <v>264</v>
      </c>
      <c r="D176" s="3">
        <v>2025</v>
      </c>
      <c r="E176" s="39">
        <v>77</v>
      </c>
      <c r="BG176" s="39" t="s">
        <v>211</v>
      </c>
      <c r="BH176">
        <v>3</v>
      </c>
    </row>
    <row r="177" spans="1:60" s="16" customFormat="1" ht="13.5" customHeight="1" thickBot="1" x14ac:dyDescent="0.35">
      <c r="A177" s="48" t="s">
        <v>114</v>
      </c>
      <c r="B177" s="16" t="s">
        <v>232</v>
      </c>
      <c r="C177" s="48" t="s">
        <v>264</v>
      </c>
      <c r="D177" s="18">
        <v>2025</v>
      </c>
      <c r="E177" s="48">
        <v>77</v>
      </c>
      <c r="BG177" s="48" t="s">
        <v>263</v>
      </c>
      <c r="BH177" s="16">
        <v>3</v>
      </c>
    </row>
    <row r="178" spans="1:60" ht="13.5" customHeight="1" x14ac:dyDescent="0.3">
      <c r="A178" t="s">
        <v>120</v>
      </c>
      <c r="B178" t="s">
        <v>282</v>
      </c>
      <c r="C178" s="39" t="s">
        <v>189</v>
      </c>
      <c r="D178" s="3">
        <v>2024</v>
      </c>
      <c r="E178" s="39">
        <v>57</v>
      </c>
      <c r="BG178" s="52" t="s">
        <v>283</v>
      </c>
      <c r="BH178" s="20">
        <v>1</v>
      </c>
    </row>
    <row r="179" spans="1:60" ht="13.5" customHeight="1" x14ac:dyDescent="0.3">
      <c r="A179" t="s">
        <v>120</v>
      </c>
      <c r="B179" t="s">
        <v>282</v>
      </c>
      <c r="C179" s="39" t="s">
        <v>189</v>
      </c>
      <c r="D179" s="3">
        <v>2024</v>
      </c>
      <c r="E179" s="39">
        <v>57</v>
      </c>
      <c r="BG179" s="52" t="s">
        <v>284</v>
      </c>
      <c r="BH179" s="20">
        <v>1</v>
      </c>
    </row>
    <row r="180" spans="1:60" ht="13.5" customHeight="1" x14ac:dyDescent="0.3">
      <c r="A180" t="s">
        <v>120</v>
      </c>
      <c r="B180" t="s">
        <v>282</v>
      </c>
      <c r="C180" s="39" t="s">
        <v>189</v>
      </c>
      <c r="D180" s="3">
        <v>2024</v>
      </c>
      <c r="E180" s="39">
        <v>57</v>
      </c>
      <c r="BG180" s="52" t="s">
        <v>186</v>
      </c>
      <c r="BH180" s="20">
        <v>1</v>
      </c>
    </row>
    <row r="181" spans="1:60" ht="13.5" customHeight="1" x14ac:dyDescent="0.3">
      <c r="A181" t="s">
        <v>120</v>
      </c>
      <c r="B181" t="s">
        <v>282</v>
      </c>
      <c r="C181" s="39" t="s">
        <v>189</v>
      </c>
      <c r="D181" s="3">
        <v>2024</v>
      </c>
      <c r="E181" s="39">
        <v>57</v>
      </c>
      <c r="BG181" s="52" t="s">
        <v>285</v>
      </c>
      <c r="BH181" s="20">
        <v>1</v>
      </c>
    </row>
    <row r="182" spans="1:60" ht="13.5" customHeight="1" x14ac:dyDescent="0.3">
      <c r="A182" t="s">
        <v>120</v>
      </c>
      <c r="B182" t="s">
        <v>282</v>
      </c>
      <c r="C182" s="39" t="s">
        <v>189</v>
      </c>
      <c r="D182" s="3">
        <v>2024</v>
      </c>
      <c r="E182" s="39">
        <v>57</v>
      </c>
      <c r="BG182" s="13" t="s">
        <v>141</v>
      </c>
      <c r="BH182" s="20">
        <v>1</v>
      </c>
    </row>
    <row r="183" spans="1:60" ht="13.5" customHeight="1" x14ac:dyDescent="0.3">
      <c r="A183" t="s">
        <v>120</v>
      </c>
      <c r="B183" t="s">
        <v>282</v>
      </c>
      <c r="C183" s="39" t="s">
        <v>189</v>
      </c>
      <c r="D183" s="3">
        <v>2024</v>
      </c>
      <c r="E183" s="39">
        <v>57</v>
      </c>
      <c r="BG183" s="13" t="s">
        <v>142</v>
      </c>
      <c r="BH183" s="20">
        <v>1</v>
      </c>
    </row>
    <row r="184" spans="1:60" ht="13.5" customHeight="1" x14ac:dyDescent="0.3">
      <c r="A184" t="s">
        <v>120</v>
      </c>
      <c r="B184" t="s">
        <v>282</v>
      </c>
      <c r="C184" s="39" t="s">
        <v>189</v>
      </c>
      <c r="D184" s="3">
        <v>2024</v>
      </c>
      <c r="E184" s="39">
        <v>57</v>
      </c>
      <c r="BG184" s="13" t="s">
        <v>179</v>
      </c>
      <c r="BH184" s="20">
        <v>1</v>
      </c>
    </row>
    <row r="185" spans="1:60" ht="13.5" customHeight="1" x14ac:dyDescent="0.3">
      <c r="A185" t="s">
        <v>120</v>
      </c>
      <c r="B185" t="s">
        <v>282</v>
      </c>
      <c r="C185" s="39" t="s">
        <v>189</v>
      </c>
      <c r="D185" s="3">
        <v>2024</v>
      </c>
      <c r="E185" s="39">
        <v>57</v>
      </c>
      <c r="BG185" s="13" t="s">
        <v>180</v>
      </c>
      <c r="BH185" s="20">
        <v>1</v>
      </c>
    </row>
    <row r="186" spans="1:60" ht="13.5" customHeight="1" x14ac:dyDescent="0.3">
      <c r="A186" t="s">
        <v>120</v>
      </c>
      <c r="B186" t="s">
        <v>282</v>
      </c>
      <c r="C186" s="39" t="s">
        <v>189</v>
      </c>
      <c r="D186" s="3">
        <v>2024</v>
      </c>
      <c r="E186" s="39">
        <v>57</v>
      </c>
      <c r="BG186" s="41" t="s">
        <v>286</v>
      </c>
      <c r="BH186" s="53" t="s">
        <v>191</v>
      </c>
    </row>
    <row r="187" spans="1:60" ht="13.5" customHeight="1" x14ac:dyDescent="0.3">
      <c r="A187" t="s">
        <v>120</v>
      </c>
      <c r="B187" t="s">
        <v>282</v>
      </c>
      <c r="C187" s="39" t="s">
        <v>189</v>
      </c>
      <c r="D187" s="3">
        <v>2024</v>
      </c>
      <c r="E187" s="39">
        <v>57</v>
      </c>
      <c r="BG187" s="41" t="s">
        <v>287</v>
      </c>
      <c r="BH187" s="53" t="s">
        <v>191</v>
      </c>
    </row>
    <row r="188" spans="1:60" ht="13.5" customHeight="1" x14ac:dyDescent="0.3">
      <c r="A188" t="s">
        <v>120</v>
      </c>
      <c r="B188" t="s">
        <v>282</v>
      </c>
      <c r="C188" s="39" t="s">
        <v>189</v>
      </c>
      <c r="D188" s="3">
        <v>2024</v>
      </c>
      <c r="E188" s="39">
        <v>57</v>
      </c>
      <c r="BG188" s="41" t="s">
        <v>288</v>
      </c>
      <c r="BH188" s="53" t="s">
        <v>191</v>
      </c>
    </row>
    <row r="189" spans="1:60" ht="13.5" customHeight="1" x14ac:dyDescent="0.3">
      <c r="A189" t="s">
        <v>120</v>
      </c>
      <c r="B189" t="s">
        <v>282</v>
      </c>
      <c r="C189" s="39" t="s">
        <v>189</v>
      </c>
      <c r="D189" s="3">
        <v>2024</v>
      </c>
      <c r="E189" s="39">
        <v>57</v>
      </c>
      <c r="BG189" s="41" t="s">
        <v>289</v>
      </c>
      <c r="BH189" s="20">
        <v>3</v>
      </c>
    </row>
    <row r="190" spans="1:60" ht="13.5" customHeight="1" x14ac:dyDescent="0.3">
      <c r="A190" t="s">
        <v>120</v>
      </c>
      <c r="B190" t="s">
        <v>282</v>
      </c>
      <c r="C190" s="39" t="s">
        <v>189</v>
      </c>
      <c r="D190" s="3">
        <v>2024</v>
      </c>
      <c r="E190" s="39">
        <v>57</v>
      </c>
      <c r="BG190" s="41" t="s">
        <v>290</v>
      </c>
      <c r="BH190" s="20">
        <v>3</v>
      </c>
    </row>
    <row r="191" spans="1:60" ht="13.5" customHeight="1" x14ac:dyDescent="0.3">
      <c r="A191" t="s">
        <v>120</v>
      </c>
      <c r="B191" t="s">
        <v>282</v>
      </c>
      <c r="C191" s="39" t="s">
        <v>189</v>
      </c>
      <c r="D191" s="3">
        <v>2024</v>
      </c>
      <c r="E191" s="39">
        <v>57</v>
      </c>
      <c r="BG191" s="41" t="s">
        <v>291</v>
      </c>
      <c r="BH191" s="20">
        <v>3</v>
      </c>
    </row>
    <row r="192" spans="1:60" s="64" customFormat="1" ht="13.5" customHeight="1" x14ac:dyDescent="0.3">
      <c r="A192" s="64" t="s">
        <v>120</v>
      </c>
      <c r="B192" s="64" t="s">
        <v>282</v>
      </c>
      <c r="C192" s="90" t="s">
        <v>189</v>
      </c>
      <c r="D192" s="91">
        <v>2024</v>
      </c>
      <c r="E192" s="90">
        <v>57</v>
      </c>
      <c r="BG192" s="92" t="s">
        <v>292</v>
      </c>
      <c r="BH192" s="64">
        <v>3</v>
      </c>
    </row>
    <row r="193" spans="1:60" ht="13.5" customHeight="1" x14ac:dyDescent="0.3">
      <c r="A193" s="84" t="s">
        <v>121</v>
      </c>
      <c r="B193" s="84" t="s">
        <v>298</v>
      </c>
      <c r="C193" s="85" t="s">
        <v>471</v>
      </c>
      <c r="D193" s="84">
        <v>2024</v>
      </c>
      <c r="E193" s="86">
        <v>80</v>
      </c>
      <c r="BG193" s="72" t="s">
        <v>389</v>
      </c>
      <c r="BH193" s="20">
        <v>3</v>
      </c>
    </row>
    <row r="194" spans="1:60" ht="13.5" customHeight="1" x14ac:dyDescent="0.3">
      <c r="A194" s="84" t="s">
        <v>121</v>
      </c>
      <c r="B194" s="84" t="s">
        <v>298</v>
      </c>
      <c r="C194" s="85" t="s">
        <v>471</v>
      </c>
      <c r="D194" s="84">
        <v>2024</v>
      </c>
      <c r="E194" s="86">
        <v>80</v>
      </c>
      <c r="BG194" s="72" t="s">
        <v>391</v>
      </c>
      <c r="BH194" s="20">
        <v>3</v>
      </c>
    </row>
    <row r="195" spans="1:60" ht="13.5" customHeight="1" x14ac:dyDescent="0.3">
      <c r="A195" s="84" t="s">
        <v>121</v>
      </c>
      <c r="B195" s="84" t="s">
        <v>298</v>
      </c>
      <c r="C195" s="85" t="s">
        <v>471</v>
      </c>
      <c r="D195" s="84">
        <v>2024</v>
      </c>
      <c r="E195" s="86">
        <v>80</v>
      </c>
      <c r="BG195" s="72" t="s">
        <v>390</v>
      </c>
      <c r="BH195" s="20">
        <v>3</v>
      </c>
    </row>
    <row r="196" spans="1:60" ht="13.5" customHeight="1" x14ac:dyDescent="0.3">
      <c r="A196" s="84" t="s">
        <v>121</v>
      </c>
      <c r="B196" s="84" t="s">
        <v>298</v>
      </c>
      <c r="C196" s="85" t="s">
        <v>471</v>
      </c>
      <c r="D196" s="84">
        <v>2024</v>
      </c>
      <c r="E196" s="86">
        <v>80</v>
      </c>
      <c r="BG196" s="72" t="s">
        <v>392</v>
      </c>
      <c r="BH196" s="20">
        <v>3</v>
      </c>
    </row>
    <row r="197" spans="1:60" ht="13.5" customHeight="1" x14ac:dyDescent="0.3">
      <c r="A197" s="84" t="s">
        <v>121</v>
      </c>
      <c r="B197" s="84" t="s">
        <v>298</v>
      </c>
      <c r="C197" s="85" t="s">
        <v>471</v>
      </c>
      <c r="D197" s="84">
        <v>2024</v>
      </c>
      <c r="E197" s="86">
        <v>80</v>
      </c>
      <c r="BG197" s="72" t="s">
        <v>393</v>
      </c>
      <c r="BH197" s="20">
        <v>3</v>
      </c>
    </row>
    <row r="198" spans="1:60" s="64" customFormat="1" ht="13.5" customHeight="1" x14ac:dyDescent="0.3">
      <c r="A198" s="87" t="s">
        <v>121</v>
      </c>
      <c r="B198" s="87" t="s">
        <v>298</v>
      </c>
      <c r="C198" s="88" t="s">
        <v>471</v>
      </c>
      <c r="D198" s="87">
        <v>2024</v>
      </c>
      <c r="E198" s="89">
        <v>80</v>
      </c>
      <c r="BG198" s="83" t="s">
        <v>394</v>
      </c>
      <c r="BH198" s="64">
        <v>3</v>
      </c>
    </row>
    <row r="199" spans="1:60" s="20" customFormat="1" ht="13.5" customHeight="1" thickBot="1" x14ac:dyDescent="0.35">
      <c r="A199" s="73" t="s">
        <v>121</v>
      </c>
      <c r="B199" s="73" t="s">
        <v>299</v>
      </c>
      <c r="C199" s="74" t="s">
        <v>346</v>
      </c>
      <c r="D199" s="73">
        <v>2024</v>
      </c>
      <c r="E199" s="75">
        <v>81</v>
      </c>
      <c r="BG199" s="82" t="s">
        <v>342</v>
      </c>
    </row>
    <row r="200" spans="1:60" ht="13.5" customHeight="1" thickBot="1" x14ac:dyDescent="0.35">
      <c r="A200" s="54" t="s">
        <v>121</v>
      </c>
      <c r="B200" s="54" t="s">
        <v>299</v>
      </c>
      <c r="C200" s="55" t="s">
        <v>346</v>
      </c>
      <c r="D200" s="54">
        <v>2024</v>
      </c>
      <c r="E200" s="56">
        <v>81</v>
      </c>
      <c r="BG200" s="72" t="s">
        <v>344</v>
      </c>
    </row>
    <row r="201" spans="1:60" ht="13.5" customHeight="1" thickBot="1" x14ac:dyDescent="0.35">
      <c r="A201" s="54" t="s">
        <v>121</v>
      </c>
      <c r="B201" s="54" t="s">
        <v>299</v>
      </c>
      <c r="C201" s="55" t="s">
        <v>346</v>
      </c>
      <c r="D201" s="54">
        <v>2024</v>
      </c>
      <c r="E201" s="56">
        <v>81</v>
      </c>
      <c r="BG201" s="72" t="s">
        <v>345</v>
      </c>
    </row>
    <row r="202" spans="1:60" ht="13.5" customHeight="1" thickBot="1" x14ac:dyDescent="0.35">
      <c r="A202" s="54" t="s">
        <v>121</v>
      </c>
      <c r="B202" s="54" t="s">
        <v>299</v>
      </c>
      <c r="C202" s="55" t="s">
        <v>346</v>
      </c>
      <c r="D202" s="54">
        <v>2024</v>
      </c>
      <c r="E202" s="56">
        <v>81</v>
      </c>
      <c r="BG202" s="72" t="s">
        <v>343</v>
      </c>
    </row>
    <row r="203" spans="1:60" ht="13.5" customHeight="1" thickBot="1" x14ac:dyDescent="0.35">
      <c r="A203" s="54" t="s">
        <v>121</v>
      </c>
      <c r="B203" s="54" t="s">
        <v>299</v>
      </c>
      <c r="C203" s="55" t="s">
        <v>346</v>
      </c>
      <c r="D203" s="54">
        <v>2024</v>
      </c>
      <c r="E203" s="56">
        <v>81</v>
      </c>
      <c r="BG203" s="72" t="s">
        <v>338</v>
      </c>
    </row>
    <row r="204" spans="1:60" ht="13.5" customHeight="1" thickBot="1" x14ac:dyDescent="0.35">
      <c r="A204" s="54" t="s">
        <v>121</v>
      </c>
      <c r="B204" s="54" t="s">
        <v>299</v>
      </c>
      <c r="C204" s="55" t="s">
        <v>346</v>
      </c>
      <c r="D204" s="54">
        <v>2024</v>
      </c>
      <c r="E204" s="56">
        <v>81</v>
      </c>
      <c r="BG204" s="72" t="s">
        <v>339</v>
      </c>
    </row>
    <row r="205" spans="1:60" ht="13.5" customHeight="1" thickBot="1" x14ac:dyDescent="0.35">
      <c r="A205" s="54" t="s">
        <v>121</v>
      </c>
      <c r="B205" s="54" t="s">
        <v>299</v>
      </c>
      <c r="C205" s="55" t="s">
        <v>346</v>
      </c>
      <c r="D205" s="54">
        <v>2024</v>
      </c>
      <c r="E205" s="56">
        <v>81</v>
      </c>
      <c r="BG205" s="72" t="s">
        <v>340</v>
      </c>
    </row>
    <row r="206" spans="1:60" s="64" customFormat="1" ht="13.5" customHeight="1" x14ac:dyDescent="0.3">
      <c r="A206" s="61" t="s">
        <v>121</v>
      </c>
      <c r="B206" s="61" t="s">
        <v>299</v>
      </c>
      <c r="C206" s="62" t="s">
        <v>346</v>
      </c>
      <c r="D206" s="61">
        <v>2024</v>
      </c>
      <c r="E206" s="63">
        <v>81</v>
      </c>
      <c r="BG206" s="64" t="s">
        <v>341</v>
      </c>
    </row>
    <row r="207" spans="1:60" s="20" customFormat="1" ht="13.5" customHeight="1" thickBot="1" x14ac:dyDescent="0.35">
      <c r="A207" s="73" t="s">
        <v>121</v>
      </c>
      <c r="B207" s="73" t="s">
        <v>300</v>
      </c>
      <c r="C207" s="74" t="s">
        <v>352</v>
      </c>
      <c r="D207" s="73">
        <v>2022</v>
      </c>
      <c r="E207" s="75">
        <v>82</v>
      </c>
      <c r="BG207" s="60" t="s">
        <v>347</v>
      </c>
      <c r="BH207" s="20">
        <v>1</v>
      </c>
    </row>
    <row r="208" spans="1:60" s="20" customFormat="1" ht="13.5" customHeight="1" thickBot="1" x14ac:dyDescent="0.35">
      <c r="A208" s="73" t="s">
        <v>121</v>
      </c>
      <c r="B208" s="73" t="s">
        <v>300</v>
      </c>
      <c r="C208" s="74" t="s">
        <v>352</v>
      </c>
      <c r="D208" s="73">
        <v>2022</v>
      </c>
      <c r="E208" s="75">
        <v>82</v>
      </c>
      <c r="BG208" s="60" t="s">
        <v>348</v>
      </c>
      <c r="BH208" s="20">
        <v>1</v>
      </c>
    </row>
    <row r="209" spans="1:60" s="20" customFormat="1" ht="13.5" customHeight="1" thickBot="1" x14ac:dyDescent="0.35">
      <c r="A209" s="73" t="s">
        <v>121</v>
      </c>
      <c r="B209" s="73" t="s">
        <v>300</v>
      </c>
      <c r="C209" s="74" t="s">
        <v>352</v>
      </c>
      <c r="D209" s="73">
        <v>2022</v>
      </c>
      <c r="E209" s="75">
        <v>82</v>
      </c>
      <c r="BG209" s="60" t="s">
        <v>349</v>
      </c>
      <c r="BH209" s="20">
        <v>1</v>
      </c>
    </row>
    <row r="210" spans="1:60" s="20" customFormat="1" ht="13.5" customHeight="1" thickBot="1" x14ac:dyDescent="0.35">
      <c r="A210" s="73" t="s">
        <v>121</v>
      </c>
      <c r="B210" s="73" t="s">
        <v>300</v>
      </c>
      <c r="C210" s="74" t="s">
        <v>352</v>
      </c>
      <c r="D210" s="73">
        <v>2022</v>
      </c>
      <c r="E210" s="75">
        <v>82</v>
      </c>
      <c r="BG210" s="60" t="s">
        <v>350</v>
      </c>
      <c r="BH210" s="20">
        <v>1</v>
      </c>
    </row>
    <row r="211" spans="1:60" s="64" customFormat="1" ht="13.5" customHeight="1" x14ac:dyDescent="0.3">
      <c r="A211" s="76" t="s">
        <v>121</v>
      </c>
      <c r="B211" s="76" t="s">
        <v>300</v>
      </c>
      <c r="C211" s="77" t="s">
        <v>352</v>
      </c>
      <c r="D211" s="76">
        <v>2022</v>
      </c>
      <c r="E211" s="78">
        <v>82</v>
      </c>
      <c r="BG211" s="65" t="s">
        <v>351</v>
      </c>
      <c r="BH211" s="64">
        <v>1</v>
      </c>
    </row>
    <row r="212" spans="1:60" s="20" customFormat="1" ht="13.5" customHeight="1" thickBot="1" x14ac:dyDescent="0.35">
      <c r="A212" s="73" t="s">
        <v>121</v>
      </c>
      <c r="B212" s="73" t="s">
        <v>301</v>
      </c>
      <c r="C212" s="74" t="s">
        <v>432</v>
      </c>
      <c r="D212" s="73">
        <v>2022</v>
      </c>
      <c r="E212" s="75">
        <v>83</v>
      </c>
      <c r="BG212" s="60" t="s">
        <v>433</v>
      </c>
      <c r="BH212" s="20">
        <v>3</v>
      </c>
    </row>
    <row r="213" spans="1:60" s="20" customFormat="1" ht="13.5" customHeight="1" thickBot="1" x14ac:dyDescent="0.35">
      <c r="A213" s="73" t="s">
        <v>121</v>
      </c>
      <c r="B213" s="73" t="s">
        <v>301</v>
      </c>
      <c r="C213" s="74" t="s">
        <v>432</v>
      </c>
      <c r="D213" s="73">
        <v>2022</v>
      </c>
      <c r="E213" s="75">
        <v>83</v>
      </c>
      <c r="BG213" s="60" t="s">
        <v>434</v>
      </c>
      <c r="BH213" s="20">
        <v>3</v>
      </c>
    </row>
    <row r="214" spans="1:60" s="20" customFormat="1" ht="13.5" customHeight="1" thickBot="1" x14ac:dyDescent="0.35">
      <c r="A214" s="73" t="s">
        <v>121</v>
      </c>
      <c r="B214" s="73" t="s">
        <v>301</v>
      </c>
      <c r="C214" s="74" t="s">
        <v>432</v>
      </c>
      <c r="D214" s="73">
        <v>2022</v>
      </c>
      <c r="E214" s="75">
        <v>83</v>
      </c>
      <c r="BG214" s="60" t="s">
        <v>435</v>
      </c>
      <c r="BH214" s="20">
        <v>3</v>
      </c>
    </row>
    <row r="215" spans="1:60" s="20" customFormat="1" ht="13.5" customHeight="1" thickBot="1" x14ac:dyDescent="0.35">
      <c r="A215" s="73" t="s">
        <v>121</v>
      </c>
      <c r="B215" s="73" t="s">
        <v>301</v>
      </c>
      <c r="C215" s="74" t="s">
        <v>432</v>
      </c>
      <c r="D215" s="73">
        <v>2022</v>
      </c>
      <c r="E215" s="75">
        <v>83</v>
      </c>
      <c r="BG215" s="60" t="s">
        <v>436</v>
      </c>
      <c r="BH215" s="20">
        <v>3</v>
      </c>
    </row>
    <row r="216" spans="1:60" s="20" customFormat="1" ht="13.5" customHeight="1" thickBot="1" x14ac:dyDescent="0.35">
      <c r="A216" s="73" t="s">
        <v>121</v>
      </c>
      <c r="B216" s="73" t="s">
        <v>301</v>
      </c>
      <c r="C216" s="74" t="s">
        <v>432</v>
      </c>
      <c r="D216" s="73">
        <v>2022</v>
      </c>
      <c r="E216" s="75">
        <v>83</v>
      </c>
      <c r="BG216" s="60" t="s">
        <v>437</v>
      </c>
      <c r="BH216" s="20">
        <v>3</v>
      </c>
    </row>
    <row r="217" spans="1:60" s="20" customFormat="1" ht="13.5" customHeight="1" thickBot="1" x14ac:dyDescent="0.35">
      <c r="A217" s="73" t="s">
        <v>121</v>
      </c>
      <c r="B217" s="73" t="s">
        <v>301</v>
      </c>
      <c r="C217" s="74" t="s">
        <v>432</v>
      </c>
      <c r="D217" s="73">
        <v>2022</v>
      </c>
      <c r="E217" s="75">
        <v>83</v>
      </c>
      <c r="BG217" s="60" t="s">
        <v>438</v>
      </c>
      <c r="BH217" s="20">
        <v>3</v>
      </c>
    </row>
    <row r="218" spans="1:60" s="20" customFormat="1" ht="13.5" customHeight="1" thickBot="1" x14ac:dyDescent="0.35">
      <c r="A218" s="73" t="s">
        <v>121</v>
      </c>
      <c r="B218" s="73" t="s">
        <v>301</v>
      </c>
      <c r="C218" s="74" t="s">
        <v>432</v>
      </c>
      <c r="D218" s="73">
        <v>2022</v>
      </c>
      <c r="E218" s="75">
        <v>83</v>
      </c>
      <c r="BG218" s="60" t="s">
        <v>439</v>
      </c>
      <c r="BH218" s="20">
        <v>3</v>
      </c>
    </row>
    <row r="219" spans="1:60" s="20" customFormat="1" ht="13.5" customHeight="1" thickBot="1" x14ac:dyDescent="0.35">
      <c r="A219" s="73" t="s">
        <v>121</v>
      </c>
      <c r="B219" s="73" t="s">
        <v>301</v>
      </c>
      <c r="C219" s="74" t="s">
        <v>432</v>
      </c>
      <c r="D219" s="73">
        <v>2022</v>
      </c>
      <c r="E219" s="75">
        <v>83</v>
      </c>
      <c r="BG219" s="60" t="s">
        <v>440</v>
      </c>
      <c r="BH219" s="20">
        <v>3</v>
      </c>
    </row>
    <row r="220" spans="1:60" s="20" customFormat="1" ht="13.5" customHeight="1" thickBot="1" x14ac:dyDescent="0.35">
      <c r="A220" s="73" t="s">
        <v>121</v>
      </c>
      <c r="B220" s="73" t="s">
        <v>301</v>
      </c>
      <c r="C220" s="74" t="s">
        <v>432</v>
      </c>
      <c r="D220" s="73">
        <v>2022</v>
      </c>
      <c r="E220" s="75">
        <v>83</v>
      </c>
      <c r="BG220" s="60" t="s">
        <v>442</v>
      </c>
      <c r="BH220" s="20">
        <v>3</v>
      </c>
    </row>
    <row r="221" spans="1:60" s="20" customFormat="1" ht="13.5" customHeight="1" thickBot="1" x14ac:dyDescent="0.35">
      <c r="A221" s="73" t="s">
        <v>121</v>
      </c>
      <c r="B221" s="73" t="s">
        <v>301</v>
      </c>
      <c r="C221" s="74" t="s">
        <v>432</v>
      </c>
      <c r="D221" s="73">
        <v>2022</v>
      </c>
      <c r="E221" s="75">
        <v>83</v>
      </c>
      <c r="BG221" s="60" t="s">
        <v>441</v>
      </c>
      <c r="BH221" s="20">
        <v>3</v>
      </c>
    </row>
    <row r="222" spans="1:60" s="20" customFormat="1" ht="13.5" customHeight="1" thickBot="1" x14ac:dyDescent="0.35">
      <c r="A222" s="73" t="s">
        <v>121</v>
      </c>
      <c r="B222" s="73" t="s">
        <v>301</v>
      </c>
      <c r="C222" s="74" t="s">
        <v>432</v>
      </c>
      <c r="D222" s="73">
        <v>2022</v>
      </c>
      <c r="E222" s="75">
        <v>83</v>
      </c>
      <c r="BG222" s="60" t="s">
        <v>443</v>
      </c>
      <c r="BH222" s="20">
        <v>3</v>
      </c>
    </row>
    <row r="223" spans="1:60" s="20" customFormat="1" ht="13.5" customHeight="1" thickBot="1" x14ac:dyDescent="0.35">
      <c r="A223" s="73" t="s">
        <v>121</v>
      </c>
      <c r="B223" s="73" t="s">
        <v>301</v>
      </c>
      <c r="C223" s="74" t="s">
        <v>432</v>
      </c>
      <c r="D223" s="73">
        <v>2022</v>
      </c>
      <c r="E223" s="75">
        <v>83</v>
      </c>
      <c r="BG223" s="60" t="s">
        <v>444</v>
      </c>
      <c r="BH223" s="20">
        <v>3</v>
      </c>
    </row>
    <row r="224" spans="1:60" s="20" customFormat="1" ht="13.5" customHeight="1" thickBot="1" x14ac:dyDescent="0.35">
      <c r="A224" s="73" t="s">
        <v>121</v>
      </c>
      <c r="B224" s="73" t="s">
        <v>301</v>
      </c>
      <c r="C224" s="74" t="s">
        <v>432</v>
      </c>
      <c r="D224" s="73">
        <v>2022</v>
      </c>
      <c r="E224" s="75">
        <v>83</v>
      </c>
      <c r="BG224" s="60" t="s">
        <v>445</v>
      </c>
      <c r="BH224" s="20">
        <v>3</v>
      </c>
    </row>
    <row r="225" spans="1:60" s="20" customFormat="1" ht="13.5" customHeight="1" thickBot="1" x14ac:dyDescent="0.35">
      <c r="A225" s="73" t="s">
        <v>121</v>
      </c>
      <c r="B225" s="73" t="s">
        <v>301</v>
      </c>
      <c r="C225" s="74" t="s">
        <v>432</v>
      </c>
      <c r="D225" s="73">
        <v>2022</v>
      </c>
      <c r="E225" s="75">
        <v>83</v>
      </c>
      <c r="BG225" s="60" t="s">
        <v>446</v>
      </c>
      <c r="BH225" s="20">
        <v>3</v>
      </c>
    </row>
    <row r="226" spans="1:60" s="20" customFormat="1" ht="13.5" customHeight="1" thickBot="1" x14ac:dyDescent="0.35">
      <c r="A226" s="73" t="s">
        <v>121</v>
      </c>
      <c r="B226" s="73" t="s">
        <v>301</v>
      </c>
      <c r="C226" s="74" t="s">
        <v>432</v>
      </c>
      <c r="D226" s="73">
        <v>2022</v>
      </c>
      <c r="E226" s="75">
        <v>83</v>
      </c>
      <c r="BG226" s="60" t="s">
        <v>447</v>
      </c>
      <c r="BH226" s="20">
        <v>3</v>
      </c>
    </row>
    <row r="227" spans="1:60" s="20" customFormat="1" ht="13.5" customHeight="1" thickBot="1" x14ac:dyDescent="0.35">
      <c r="A227" s="73" t="s">
        <v>121</v>
      </c>
      <c r="B227" s="73" t="s">
        <v>301</v>
      </c>
      <c r="C227" s="74" t="s">
        <v>432</v>
      </c>
      <c r="D227" s="73">
        <v>2022</v>
      </c>
      <c r="E227" s="75">
        <v>83</v>
      </c>
      <c r="BG227" s="60" t="s">
        <v>448</v>
      </c>
      <c r="BH227" s="20">
        <v>3</v>
      </c>
    </row>
    <row r="228" spans="1:60" s="20" customFormat="1" ht="13.5" customHeight="1" thickBot="1" x14ac:dyDescent="0.35">
      <c r="A228" s="73" t="s">
        <v>121</v>
      </c>
      <c r="B228" s="73" t="s">
        <v>301</v>
      </c>
      <c r="C228" s="74" t="s">
        <v>432</v>
      </c>
      <c r="D228" s="73">
        <v>2022</v>
      </c>
      <c r="E228" s="75">
        <v>83</v>
      </c>
      <c r="BG228" s="60" t="s">
        <v>449</v>
      </c>
      <c r="BH228" s="20">
        <v>3</v>
      </c>
    </row>
    <row r="229" spans="1:60" s="20" customFormat="1" ht="13.5" customHeight="1" thickBot="1" x14ac:dyDescent="0.35">
      <c r="A229" s="73" t="s">
        <v>121</v>
      </c>
      <c r="B229" s="73" t="s">
        <v>301</v>
      </c>
      <c r="C229" s="74" t="s">
        <v>432</v>
      </c>
      <c r="D229" s="73">
        <v>2022</v>
      </c>
      <c r="E229" s="75">
        <v>83</v>
      </c>
      <c r="BG229" s="60" t="s">
        <v>450</v>
      </c>
      <c r="BH229" s="20">
        <v>3</v>
      </c>
    </row>
    <row r="230" spans="1:60" s="20" customFormat="1" ht="13.5" customHeight="1" thickBot="1" x14ac:dyDescent="0.35">
      <c r="A230" s="73" t="s">
        <v>121</v>
      </c>
      <c r="B230" s="73" t="s">
        <v>301</v>
      </c>
      <c r="C230" s="74" t="s">
        <v>432</v>
      </c>
      <c r="D230" s="73">
        <v>2022</v>
      </c>
      <c r="E230" s="75">
        <v>83</v>
      </c>
      <c r="BG230" s="60" t="s">
        <v>451</v>
      </c>
      <c r="BH230" s="20">
        <v>3</v>
      </c>
    </row>
    <row r="231" spans="1:60" s="20" customFormat="1" ht="13.5" customHeight="1" thickBot="1" x14ac:dyDescent="0.35">
      <c r="A231" s="73" t="s">
        <v>121</v>
      </c>
      <c r="B231" s="73" t="s">
        <v>301</v>
      </c>
      <c r="C231" s="74" t="s">
        <v>432</v>
      </c>
      <c r="D231" s="73">
        <v>2022</v>
      </c>
      <c r="E231" s="75">
        <v>83</v>
      </c>
      <c r="BG231" s="60" t="s">
        <v>452</v>
      </c>
      <c r="BH231" s="20">
        <v>3</v>
      </c>
    </row>
    <row r="232" spans="1:60" s="20" customFormat="1" ht="13.5" customHeight="1" thickBot="1" x14ac:dyDescent="0.35">
      <c r="A232" s="73" t="s">
        <v>121</v>
      </c>
      <c r="B232" s="73" t="s">
        <v>301</v>
      </c>
      <c r="C232" s="74" t="s">
        <v>432</v>
      </c>
      <c r="D232" s="73">
        <v>2022</v>
      </c>
      <c r="E232" s="75">
        <v>83</v>
      </c>
      <c r="BG232" s="60" t="s">
        <v>453</v>
      </c>
      <c r="BH232" s="20">
        <v>3</v>
      </c>
    </row>
    <row r="233" spans="1:60" s="20" customFormat="1" ht="13.5" customHeight="1" thickBot="1" x14ac:dyDescent="0.35">
      <c r="A233" s="73" t="s">
        <v>121</v>
      </c>
      <c r="B233" s="73" t="s">
        <v>301</v>
      </c>
      <c r="C233" s="74" t="s">
        <v>432</v>
      </c>
      <c r="D233" s="73">
        <v>2022</v>
      </c>
      <c r="E233" s="75">
        <v>83</v>
      </c>
      <c r="BG233" s="60" t="s">
        <v>454</v>
      </c>
      <c r="BH233" s="20">
        <v>3</v>
      </c>
    </row>
    <row r="234" spans="1:60" s="20" customFormat="1" ht="13.5" customHeight="1" thickBot="1" x14ac:dyDescent="0.35">
      <c r="A234" s="73" t="s">
        <v>121</v>
      </c>
      <c r="B234" s="73" t="s">
        <v>301</v>
      </c>
      <c r="C234" s="74" t="s">
        <v>432</v>
      </c>
      <c r="D234" s="73">
        <v>2022</v>
      </c>
      <c r="E234" s="75">
        <v>83</v>
      </c>
      <c r="BG234" s="60" t="s">
        <v>455</v>
      </c>
      <c r="BH234" s="20">
        <v>3</v>
      </c>
    </row>
    <row r="235" spans="1:60" s="20" customFormat="1" ht="13.5" customHeight="1" thickBot="1" x14ac:dyDescent="0.35">
      <c r="A235" s="73" t="s">
        <v>121</v>
      </c>
      <c r="B235" s="73" t="s">
        <v>301</v>
      </c>
      <c r="C235" s="74" t="s">
        <v>432</v>
      </c>
      <c r="D235" s="73">
        <v>2022</v>
      </c>
      <c r="E235" s="75">
        <v>83</v>
      </c>
      <c r="BG235" s="60" t="s">
        <v>456</v>
      </c>
      <c r="BH235" s="20">
        <v>3</v>
      </c>
    </row>
    <row r="236" spans="1:60" s="20" customFormat="1" ht="13.5" customHeight="1" thickBot="1" x14ac:dyDescent="0.35">
      <c r="A236" s="73" t="s">
        <v>121</v>
      </c>
      <c r="B236" s="73" t="s">
        <v>301</v>
      </c>
      <c r="C236" s="74" t="s">
        <v>432</v>
      </c>
      <c r="D236" s="73">
        <v>2022</v>
      </c>
      <c r="E236" s="75">
        <v>83</v>
      </c>
      <c r="BG236" s="60" t="s">
        <v>457</v>
      </c>
      <c r="BH236" s="20">
        <v>3</v>
      </c>
    </row>
    <row r="237" spans="1:60" s="20" customFormat="1" ht="13.5" customHeight="1" thickBot="1" x14ac:dyDescent="0.35">
      <c r="A237" s="73" t="s">
        <v>121</v>
      </c>
      <c r="B237" s="73" t="s">
        <v>301</v>
      </c>
      <c r="C237" s="74" t="s">
        <v>432</v>
      </c>
      <c r="D237" s="73">
        <v>2022</v>
      </c>
      <c r="E237" s="75">
        <v>83</v>
      </c>
      <c r="BG237" s="60" t="s">
        <v>458</v>
      </c>
      <c r="BH237" s="20">
        <v>3</v>
      </c>
    </row>
    <row r="238" spans="1:60" s="20" customFormat="1" ht="13.5" customHeight="1" thickBot="1" x14ac:dyDescent="0.35">
      <c r="A238" s="73" t="s">
        <v>121</v>
      </c>
      <c r="B238" s="73" t="s">
        <v>301</v>
      </c>
      <c r="C238" s="74" t="s">
        <v>432</v>
      </c>
      <c r="D238" s="73">
        <v>2022</v>
      </c>
      <c r="E238" s="75">
        <v>83</v>
      </c>
      <c r="BG238" s="60" t="s">
        <v>459</v>
      </c>
      <c r="BH238" s="20">
        <v>3</v>
      </c>
    </row>
    <row r="239" spans="1:60" s="20" customFormat="1" ht="13.5" customHeight="1" thickBot="1" x14ac:dyDescent="0.35">
      <c r="A239" s="73" t="s">
        <v>121</v>
      </c>
      <c r="B239" s="73" t="s">
        <v>301</v>
      </c>
      <c r="C239" s="74" t="s">
        <v>432</v>
      </c>
      <c r="D239" s="73">
        <v>2022</v>
      </c>
      <c r="E239" s="75">
        <v>83</v>
      </c>
      <c r="BG239" s="60" t="s">
        <v>460</v>
      </c>
      <c r="BH239" s="20">
        <v>3</v>
      </c>
    </row>
    <row r="240" spans="1:60" s="20" customFormat="1" ht="13.5" customHeight="1" thickBot="1" x14ac:dyDescent="0.35">
      <c r="A240" s="73" t="s">
        <v>121</v>
      </c>
      <c r="B240" s="73" t="s">
        <v>301</v>
      </c>
      <c r="C240" s="74" t="s">
        <v>432</v>
      </c>
      <c r="D240" s="73">
        <v>2022</v>
      </c>
      <c r="E240" s="75">
        <v>83</v>
      </c>
      <c r="BG240" s="60" t="s">
        <v>461</v>
      </c>
      <c r="BH240" s="20">
        <v>3</v>
      </c>
    </row>
    <row r="241" spans="1:60" s="20" customFormat="1" ht="13.5" customHeight="1" thickBot="1" x14ac:dyDescent="0.35">
      <c r="A241" s="73" t="s">
        <v>121</v>
      </c>
      <c r="B241" s="73" t="s">
        <v>301</v>
      </c>
      <c r="C241" s="74" t="s">
        <v>432</v>
      </c>
      <c r="D241" s="73">
        <v>2022</v>
      </c>
      <c r="E241" s="75">
        <v>83</v>
      </c>
      <c r="BG241" s="60" t="s">
        <v>462</v>
      </c>
      <c r="BH241" s="20">
        <v>3</v>
      </c>
    </row>
    <row r="242" spans="1:60" s="20" customFormat="1" ht="13.5" customHeight="1" thickBot="1" x14ac:dyDescent="0.35">
      <c r="A242" s="73" t="s">
        <v>121</v>
      </c>
      <c r="B242" s="73" t="s">
        <v>301</v>
      </c>
      <c r="C242" s="74" t="s">
        <v>432</v>
      </c>
      <c r="D242" s="73">
        <v>2022</v>
      </c>
      <c r="E242" s="75">
        <v>83</v>
      </c>
      <c r="BG242" s="60" t="s">
        <v>463</v>
      </c>
      <c r="BH242" s="20">
        <v>3</v>
      </c>
    </row>
    <row r="243" spans="1:60" s="20" customFormat="1" ht="13.5" customHeight="1" thickBot="1" x14ac:dyDescent="0.35">
      <c r="A243" s="73" t="s">
        <v>121</v>
      </c>
      <c r="B243" s="73" t="s">
        <v>301</v>
      </c>
      <c r="C243" s="74" t="s">
        <v>432</v>
      </c>
      <c r="D243" s="73">
        <v>2022</v>
      </c>
      <c r="E243" s="75">
        <v>83</v>
      </c>
      <c r="BG243" s="60" t="s">
        <v>464</v>
      </c>
      <c r="BH243" s="20">
        <v>3</v>
      </c>
    </row>
    <row r="244" spans="1:60" s="20" customFormat="1" ht="13.5" customHeight="1" thickBot="1" x14ac:dyDescent="0.35">
      <c r="A244" s="73" t="s">
        <v>121</v>
      </c>
      <c r="B244" s="73" t="s">
        <v>301</v>
      </c>
      <c r="C244" s="74" t="s">
        <v>432</v>
      </c>
      <c r="D244" s="73">
        <v>2022</v>
      </c>
      <c r="E244" s="75">
        <v>83</v>
      </c>
      <c r="BG244" s="60" t="s">
        <v>465</v>
      </c>
      <c r="BH244" s="20">
        <v>3</v>
      </c>
    </row>
    <row r="245" spans="1:60" s="20" customFormat="1" ht="13.5" customHeight="1" thickBot="1" x14ac:dyDescent="0.35">
      <c r="A245" s="73" t="s">
        <v>121</v>
      </c>
      <c r="B245" s="73" t="s">
        <v>301</v>
      </c>
      <c r="C245" s="74" t="s">
        <v>432</v>
      </c>
      <c r="D245" s="73">
        <v>2022</v>
      </c>
      <c r="E245" s="75">
        <v>83</v>
      </c>
      <c r="BG245" s="60" t="s">
        <v>466</v>
      </c>
      <c r="BH245" s="20">
        <v>3</v>
      </c>
    </row>
    <row r="246" spans="1:60" s="20" customFormat="1" ht="13.5" customHeight="1" thickBot="1" x14ac:dyDescent="0.35">
      <c r="A246" s="73" t="s">
        <v>121</v>
      </c>
      <c r="B246" s="73" t="s">
        <v>301</v>
      </c>
      <c r="C246" s="74" t="s">
        <v>432</v>
      </c>
      <c r="D246" s="73">
        <v>2022</v>
      </c>
      <c r="E246" s="75">
        <v>83</v>
      </c>
      <c r="BG246" s="60" t="s">
        <v>467</v>
      </c>
      <c r="BH246" s="20">
        <v>3</v>
      </c>
    </row>
    <row r="247" spans="1:60" s="20" customFormat="1" ht="13.5" customHeight="1" thickBot="1" x14ac:dyDescent="0.35">
      <c r="A247" s="73" t="s">
        <v>121</v>
      </c>
      <c r="B247" s="73" t="s">
        <v>301</v>
      </c>
      <c r="C247" s="74" t="s">
        <v>432</v>
      </c>
      <c r="D247" s="73">
        <v>2022</v>
      </c>
      <c r="E247" s="75">
        <v>83</v>
      </c>
      <c r="BG247" s="60" t="s">
        <v>468</v>
      </c>
      <c r="BH247" s="20">
        <v>3</v>
      </c>
    </row>
    <row r="248" spans="1:60" s="64" customFormat="1" ht="13.5" customHeight="1" x14ac:dyDescent="0.3">
      <c r="A248" s="76" t="s">
        <v>121</v>
      </c>
      <c r="B248" s="76" t="s">
        <v>301</v>
      </c>
      <c r="C248" s="77" t="s">
        <v>432</v>
      </c>
      <c r="D248" s="76">
        <v>2022</v>
      </c>
      <c r="E248" s="78">
        <v>83</v>
      </c>
      <c r="BG248" s="65" t="s">
        <v>469</v>
      </c>
      <c r="BH248" s="64">
        <v>3</v>
      </c>
    </row>
    <row r="249" spans="1:60" s="20" customFormat="1" ht="13.5" customHeight="1" thickBot="1" x14ac:dyDescent="0.35">
      <c r="A249" s="73" t="s">
        <v>121</v>
      </c>
      <c r="B249" s="73" t="s">
        <v>302</v>
      </c>
      <c r="C249" s="74" t="s">
        <v>470</v>
      </c>
      <c r="D249" s="73">
        <v>2021</v>
      </c>
      <c r="E249" s="75">
        <v>84</v>
      </c>
      <c r="BG249" s="60" t="s">
        <v>403</v>
      </c>
      <c r="BH249" s="20">
        <v>3</v>
      </c>
    </row>
    <row r="250" spans="1:60" ht="13.5" customHeight="1" thickBot="1" x14ac:dyDescent="0.35">
      <c r="A250" s="73" t="s">
        <v>121</v>
      </c>
      <c r="B250" s="73" t="s">
        <v>302</v>
      </c>
      <c r="C250" s="74" t="s">
        <v>470</v>
      </c>
      <c r="D250" s="73">
        <v>2021</v>
      </c>
      <c r="E250" s="75">
        <v>84</v>
      </c>
      <c r="BG250" s="60" t="s">
        <v>404</v>
      </c>
      <c r="BH250" s="20">
        <v>3</v>
      </c>
    </row>
    <row r="251" spans="1:60" ht="13.5" customHeight="1" thickBot="1" x14ac:dyDescent="0.35">
      <c r="A251" s="73" t="s">
        <v>121</v>
      </c>
      <c r="B251" s="73" t="s">
        <v>302</v>
      </c>
      <c r="C251" s="74" t="s">
        <v>470</v>
      </c>
      <c r="D251" s="73">
        <v>2021</v>
      </c>
      <c r="E251" s="75">
        <v>84</v>
      </c>
      <c r="BG251" s="60" t="s">
        <v>399</v>
      </c>
      <c r="BH251" s="20">
        <v>3</v>
      </c>
    </row>
    <row r="252" spans="1:60" ht="13.5" customHeight="1" thickBot="1" x14ac:dyDescent="0.35">
      <c r="A252" s="73" t="s">
        <v>121</v>
      </c>
      <c r="B252" s="73" t="s">
        <v>302</v>
      </c>
      <c r="C252" s="74" t="s">
        <v>470</v>
      </c>
      <c r="D252" s="73">
        <v>2021</v>
      </c>
      <c r="E252" s="75">
        <v>84</v>
      </c>
      <c r="BG252" s="60" t="s">
        <v>400</v>
      </c>
      <c r="BH252" s="20">
        <v>3</v>
      </c>
    </row>
    <row r="253" spans="1:60" ht="13.5" customHeight="1" thickBot="1" x14ac:dyDescent="0.35">
      <c r="A253" s="73" t="s">
        <v>121</v>
      </c>
      <c r="B253" s="73" t="s">
        <v>302</v>
      </c>
      <c r="C253" s="74" t="s">
        <v>470</v>
      </c>
      <c r="D253" s="73">
        <v>2021</v>
      </c>
      <c r="E253" s="75">
        <v>84</v>
      </c>
      <c r="BG253" s="60" t="s">
        <v>401</v>
      </c>
      <c r="BH253" s="20">
        <v>3</v>
      </c>
    </row>
    <row r="254" spans="1:60" ht="13.5" customHeight="1" thickBot="1" x14ac:dyDescent="0.35">
      <c r="A254" s="73" t="s">
        <v>121</v>
      </c>
      <c r="B254" s="73" t="s">
        <v>302</v>
      </c>
      <c r="C254" s="74" t="s">
        <v>470</v>
      </c>
      <c r="D254" s="73">
        <v>2021</v>
      </c>
      <c r="E254" s="75">
        <v>84</v>
      </c>
      <c r="BG254" s="60" t="s">
        <v>402</v>
      </c>
      <c r="BH254" s="20">
        <v>3</v>
      </c>
    </row>
    <row r="255" spans="1:60" ht="13.5" customHeight="1" thickBot="1" x14ac:dyDescent="0.35">
      <c r="A255" s="73" t="s">
        <v>121</v>
      </c>
      <c r="B255" s="73" t="s">
        <v>302</v>
      </c>
      <c r="C255" s="74" t="s">
        <v>470</v>
      </c>
      <c r="D255" s="73">
        <v>2021</v>
      </c>
      <c r="E255" s="75">
        <v>84</v>
      </c>
      <c r="BG255" s="60" t="s">
        <v>398</v>
      </c>
      <c r="BH255" s="20">
        <v>3</v>
      </c>
    </row>
    <row r="256" spans="1:60" ht="13.5" customHeight="1" thickBot="1" x14ac:dyDescent="0.35">
      <c r="A256" s="73" t="s">
        <v>121</v>
      </c>
      <c r="B256" s="73" t="s">
        <v>302</v>
      </c>
      <c r="C256" s="74" t="s">
        <v>470</v>
      </c>
      <c r="D256" s="73">
        <v>2021</v>
      </c>
      <c r="E256" s="75">
        <v>84</v>
      </c>
      <c r="BG256" s="20" t="s">
        <v>395</v>
      </c>
      <c r="BH256" s="20">
        <v>3</v>
      </c>
    </row>
    <row r="257" spans="1:70" ht="13.5" customHeight="1" thickBot="1" x14ac:dyDescent="0.35">
      <c r="A257" s="73" t="s">
        <v>121</v>
      </c>
      <c r="B257" s="73" t="s">
        <v>302</v>
      </c>
      <c r="C257" s="74" t="s">
        <v>470</v>
      </c>
      <c r="D257" s="73">
        <v>2021</v>
      </c>
      <c r="E257" s="75">
        <v>84</v>
      </c>
      <c r="BG257" s="60" t="s">
        <v>397</v>
      </c>
      <c r="BH257" s="20">
        <v>3</v>
      </c>
    </row>
    <row r="258" spans="1:70" s="64" customFormat="1" ht="13.5" customHeight="1" x14ac:dyDescent="0.3">
      <c r="A258" s="76" t="s">
        <v>121</v>
      </c>
      <c r="B258" s="76" t="s">
        <v>302</v>
      </c>
      <c r="C258" s="77" t="s">
        <v>470</v>
      </c>
      <c r="D258" s="76">
        <v>2021</v>
      </c>
      <c r="E258" s="78">
        <v>84</v>
      </c>
      <c r="BG258" s="65" t="s">
        <v>396</v>
      </c>
      <c r="BH258" s="64">
        <v>3</v>
      </c>
    </row>
    <row r="259" spans="1:70" s="20" customFormat="1" ht="13.5" customHeight="1" thickBot="1" x14ac:dyDescent="0.35">
      <c r="A259" s="73" t="s">
        <v>121</v>
      </c>
      <c r="B259" s="73" t="s">
        <v>303</v>
      </c>
      <c r="C259" s="74" t="s">
        <v>432</v>
      </c>
      <c r="D259" s="73">
        <v>2021</v>
      </c>
      <c r="E259" s="75">
        <v>85</v>
      </c>
      <c r="BG259" s="60" t="s">
        <v>412</v>
      </c>
      <c r="BH259" s="20">
        <v>3</v>
      </c>
      <c r="BL259" s="60"/>
      <c r="BM259" s="60"/>
      <c r="BN259" s="60"/>
      <c r="BO259" s="60"/>
      <c r="BP259" s="60"/>
      <c r="BQ259" s="60"/>
      <c r="BR259" s="60" t="s">
        <v>405</v>
      </c>
    </row>
    <row r="260" spans="1:70" s="20" customFormat="1" ht="13.5" customHeight="1" thickBot="1" x14ac:dyDescent="0.35">
      <c r="A260" s="73" t="s">
        <v>121</v>
      </c>
      <c r="B260" s="73" t="s">
        <v>303</v>
      </c>
      <c r="C260" s="74" t="s">
        <v>432</v>
      </c>
      <c r="D260" s="73">
        <v>2021</v>
      </c>
      <c r="E260" s="75">
        <v>85</v>
      </c>
      <c r="BG260" s="60" t="s">
        <v>413</v>
      </c>
      <c r="BH260" s="20">
        <v>3</v>
      </c>
      <c r="BL260" s="60"/>
      <c r="BM260" s="60"/>
      <c r="BN260" s="60"/>
      <c r="BO260" s="60"/>
      <c r="BP260" s="60"/>
      <c r="BR260" s="60" t="s">
        <v>406</v>
      </c>
    </row>
    <row r="261" spans="1:70" s="20" customFormat="1" ht="13.5" customHeight="1" thickBot="1" x14ac:dyDescent="0.35">
      <c r="A261" s="73" t="s">
        <v>121</v>
      </c>
      <c r="B261" s="73" t="s">
        <v>303</v>
      </c>
      <c r="C261" s="74" t="s">
        <v>432</v>
      </c>
      <c r="D261" s="73">
        <v>2021</v>
      </c>
      <c r="E261" s="75">
        <v>85</v>
      </c>
      <c r="BG261" s="60" t="s">
        <v>414</v>
      </c>
      <c r="BH261" s="20">
        <v>3</v>
      </c>
      <c r="BL261" s="60"/>
      <c r="BM261" s="60"/>
      <c r="BN261" s="60"/>
      <c r="BO261" s="60"/>
      <c r="BR261" s="60" t="s">
        <v>407</v>
      </c>
    </row>
    <row r="262" spans="1:70" s="20" customFormat="1" ht="13.5" customHeight="1" thickBot="1" x14ac:dyDescent="0.35">
      <c r="A262" s="73" t="s">
        <v>121</v>
      </c>
      <c r="B262" s="73" t="s">
        <v>303</v>
      </c>
      <c r="C262" s="74" t="s">
        <v>432</v>
      </c>
      <c r="D262" s="73">
        <v>2021</v>
      </c>
      <c r="E262" s="75">
        <v>85</v>
      </c>
      <c r="BG262" s="60" t="s">
        <v>415</v>
      </c>
      <c r="BH262" s="20">
        <v>3</v>
      </c>
      <c r="BL262" s="60"/>
      <c r="BM262" s="60"/>
      <c r="BN262" s="60"/>
      <c r="BR262" s="60" t="s">
        <v>408</v>
      </c>
    </row>
    <row r="263" spans="1:70" s="20" customFormat="1" ht="13.5" customHeight="1" thickBot="1" x14ac:dyDescent="0.35">
      <c r="A263" s="73" t="s">
        <v>121</v>
      </c>
      <c r="B263" s="73" t="s">
        <v>303</v>
      </c>
      <c r="C263" s="74" t="s">
        <v>432</v>
      </c>
      <c r="D263" s="73">
        <v>2021</v>
      </c>
      <c r="E263" s="75">
        <v>85</v>
      </c>
      <c r="BG263" s="60" t="s">
        <v>416</v>
      </c>
      <c r="BH263" s="20">
        <v>3</v>
      </c>
      <c r="BL263" s="60"/>
      <c r="BM263" s="60"/>
      <c r="BR263" s="60" t="s">
        <v>409</v>
      </c>
    </row>
    <row r="264" spans="1:70" s="20" customFormat="1" ht="13.5" customHeight="1" thickBot="1" x14ac:dyDescent="0.35">
      <c r="A264" s="73" t="s">
        <v>121</v>
      </c>
      <c r="B264" s="73" t="s">
        <v>303</v>
      </c>
      <c r="C264" s="74" t="s">
        <v>432</v>
      </c>
      <c r="D264" s="73">
        <v>2021</v>
      </c>
      <c r="E264" s="75">
        <v>85</v>
      </c>
      <c r="BG264" s="60" t="s">
        <v>417</v>
      </c>
      <c r="BH264" s="20">
        <v>3</v>
      </c>
      <c r="BL264" s="60"/>
      <c r="BM264" s="60"/>
      <c r="BR264" s="60" t="s">
        <v>410</v>
      </c>
    </row>
    <row r="265" spans="1:70" s="20" customFormat="1" ht="13.5" customHeight="1" thickBot="1" x14ac:dyDescent="0.35">
      <c r="A265" s="73" t="s">
        <v>121</v>
      </c>
      <c r="B265" s="73" t="s">
        <v>303</v>
      </c>
      <c r="C265" s="74" t="s">
        <v>432</v>
      </c>
      <c r="D265" s="73">
        <v>2021</v>
      </c>
      <c r="E265" s="75">
        <v>85</v>
      </c>
      <c r="BG265" s="60" t="s">
        <v>418</v>
      </c>
      <c r="BH265" s="20">
        <v>3</v>
      </c>
      <c r="BR265" s="60" t="s">
        <v>411</v>
      </c>
    </row>
    <row r="266" spans="1:70" s="20" customFormat="1" ht="13.5" customHeight="1" thickBot="1" x14ac:dyDescent="0.35">
      <c r="A266" s="73" t="s">
        <v>121</v>
      </c>
      <c r="B266" s="73" t="s">
        <v>303</v>
      </c>
      <c r="C266" s="74" t="s">
        <v>432</v>
      </c>
      <c r="D266" s="73">
        <v>2021</v>
      </c>
      <c r="E266" s="75">
        <v>85</v>
      </c>
      <c r="BG266" s="60" t="s">
        <v>419</v>
      </c>
      <c r="BH266" s="20">
        <v>3</v>
      </c>
    </row>
    <row r="267" spans="1:70" s="20" customFormat="1" ht="13.5" customHeight="1" thickBot="1" x14ac:dyDescent="0.35">
      <c r="A267" s="73" t="s">
        <v>121</v>
      </c>
      <c r="B267" s="73" t="s">
        <v>303</v>
      </c>
      <c r="C267" s="74" t="s">
        <v>432</v>
      </c>
      <c r="D267" s="73">
        <v>2021</v>
      </c>
      <c r="E267" s="75">
        <v>85</v>
      </c>
      <c r="BG267" s="60" t="s">
        <v>420</v>
      </c>
      <c r="BH267" s="20">
        <v>3</v>
      </c>
    </row>
    <row r="268" spans="1:70" s="20" customFormat="1" ht="13.5" customHeight="1" thickBot="1" x14ac:dyDescent="0.35">
      <c r="A268" s="73" t="s">
        <v>121</v>
      </c>
      <c r="B268" s="73" t="s">
        <v>303</v>
      </c>
      <c r="C268" s="74" t="s">
        <v>432</v>
      </c>
      <c r="D268" s="73">
        <v>2021</v>
      </c>
      <c r="E268" s="75">
        <v>85</v>
      </c>
      <c r="BG268" s="60" t="s">
        <v>421</v>
      </c>
      <c r="BH268" s="20">
        <v>3</v>
      </c>
    </row>
    <row r="269" spans="1:70" s="20" customFormat="1" ht="13.5" customHeight="1" thickBot="1" x14ac:dyDescent="0.35">
      <c r="A269" s="73" t="s">
        <v>121</v>
      </c>
      <c r="B269" s="73" t="s">
        <v>303</v>
      </c>
      <c r="C269" s="74" t="s">
        <v>432</v>
      </c>
      <c r="D269" s="73">
        <v>2021</v>
      </c>
      <c r="E269" s="75">
        <v>85</v>
      </c>
      <c r="BG269" s="60" t="s">
        <v>422</v>
      </c>
      <c r="BH269" s="20">
        <v>3</v>
      </c>
    </row>
    <row r="270" spans="1:70" s="20" customFormat="1" ht="13.5" customHeight="1" thickBot="1" x14ac:dyDescent="0.35">
      <c r="A270" s="73" t="s">
        <v>121</v>
      </c>
      <c r="B270" s="73" t="s">
        <v>303</v>
      </c>
      <c r="C270" s="74" t="s">
        <v>432</v>
      </c>
      <c r="D270" s="73">
        <v>2021</v>
      </c>
      <c r="E270" s="75">
        <v>85</v>
      </c>
      <c r="BG270" s="60" t="s">
        <v>423</v>
      </c>
      <c r="BH270" s="20">
        <v>3</v>
      </c>
    </row>
    <row r="271" spans="1:70" s="20" customFormat="1" ht="13.5" customHeight="1" thickBot="1" x14ac:dyDescent="0.35">
      <c r="A271" s="73" t="s">
        <v>121</v>
      </c>
      <c r="B271" s="73" t="s">
        <v>303</v>
      </c>
      <c r="C271" s="74" t="s">
        <v>432</v>
      </c>
      <c r="D271" s="73">
        <v>2021</v>
      </c>
      <c r="E271" s="75">
        <v>85</v>
      </c>
      <c r="BG271" s="60" t="s">
        <v>424</v>
      </c>
      <c r="BH271" s="20">
        <v>3</v>
      </c>
    </row>
    <row r="272" spans="1:70" s="20" customFormat="1" ht="13.5" customHeight="1" thickBot="1" x14ac:dyDescent="0.35">
      <c r="A272" s="73" t="s">
        <v>121</v>
      </c>
      <c r="B272" s="73" t="s">
        <v>303</v>
      </c>
      <c r="C272" s="74" t="s">
        <v>432</v>
      </c>
      <c r="D272" s="73">
        <v>2021</v>
      </c>
      <c r="E272" s="75">
        <v>85</v>
      </c>
      <c r="BG272" s="60" t="s">
        <v>425</v>
      </c>
      <c r="BH272" s="20">
        <v>3</v>
      </c>
    </row>
    <row r="273" spans="1:60" s="20" customFormat="1" ht="13.5" customHeight="1" thickBot="1" x14ac:dyDescent="0.35">
      <c r="A273" s="73" t="s">
        <v>121</v>
      </c>
      <c r="B273" s="73" t="s">
        <v>303</v>
      </c>
      <c r="C273" s="74" t="s">
        <v>432</v>
      </c>
      <c r="D273" s="73">
        <v>2021</v>
      </c>
      <c r="E273" s="75">
        <v>85</v>
      </c>
      <c r="BG273" s="60" t="s">
        <v>426</v>
      </c>
      <c r="BH273" s="20">
        <v>3</v>
      </c>
    </row>
    <row r="274" spans="1:60" s="20" customFormat="1" ht="13.5" customHeight="1" thickBot="1" x14ac:dyDescent="0.35">
      <c r="A274" s="73" t="s">
        <v>121</v>
      </c>
      <c r="B274" s="73" t="s">
        <v>303</v>
      </c>
      <c r="C274" s="74" t="s">
        <v>432</v>
      </c>
      <c r="D274" s="73">
        <v>2021</v>
      </c>
      <c r="E274" s="75">
        <v>85</v>
      </c>
      <c r="BG274" s="60" t="s">
        <v>427</v>
      </c>
      <c r="BH274" s="20">
        <v>3</v>
      </c>
    </row>
    <row r="275" spans="1:60" s="20" customFormat="1" ht="13.5" customHeight="1" thickBot="1" x14ac:dyDescent="0.35">
      <c r="A275" s="73" t="s">
        <v>121</v>
      </c>
      <c r="B275" s="73" t="s">
        <v>303</v>
      </c>
      <c r="C275" s="74" t="s">
        <v>432</v>
      </c>
      <c r="D275" s="73">
        <v>2021</v>
      </c>
      <c r="E275" s="75">
        <v>85</v>
      </c>
      <c r="BG275" s="60" t="s">
        <v>428</v>
      </c>
      <c r="BH275" s="20">
        <v>3</v>
      </c>
    </row>
    <row r="276" spans="1:60" s="20" customFormat="1" ht="13.5" customHeight="1" thickBot="1" x14ac:dyDescent="0.35">
      <c r="A276" s="73" t="s">
        <v>121</v>
      </c>
      <c r="B276" s="73" t="s">
        <v>303</v>
      </c>
      <c r="C276" s="74" t="s">
        <v>432</v>
      </c>
      <c r="D276" s="73">
        <v>2021</v>
      </c>
      <c r="E276" s="75">
        <v>85</v>
      </c>
      <c r="BG276" s="60" t="s">
        <v>429</v>
      </c>
      <c r="BH276" s="20">
        <v>3</v>
      </c>
    </row>
    <row r="277" spans="1:60" s="20" customFormat="1" ht="13.5" customHeight="1" thickBot="1" x14ac:dyDescent="0.35">
      <c r="A277" s="73" t="s">
        <v>121</v>
      </c>
      <c r="B277" s="73" t="s">
        <v>303</v>
      </c>
      <c r="C277" s="74" t="s">
        <v>432</v>
      </c>
      <c r="D277" s="73">
        <v>2021</v>
      </c>
      <c r="E277" s="75">
        <v>85</v>
      </c>
      <c r="BG277" s="60" t="s">
        <v>430</v>
      </c>
      <c r="BH277" s="20">
        <v>3</v>
      </c>
    </row>
    <row r="278" spans="1:60" s="64" customFormat="1" ht="13.5" customHeight="1" x14ac:dyDescent="0.3">
      <c r="A278" s="76" t="s">
        <v>121</v>
      </c>
      <c r="B278" s="76" t="s">
        <v>303</v>
      </c>
      <c r="C278" s="77" t="s">
        <v>432</v>
      </c>
      <c r="D278" s="76">
        <v>2021</v>
      </c>
      <c r="E278" s="78">
        <v>85</v>
      </c>
      <c r="BG278" s="65" t="s">
        <v>431</v>
      </c>
      <c r="BH278" s="64">
        <v>3</v>
      </c>
    </row>
    <row r="279" spans="1:60" s="20" customFormat="1" ht="13.5" customHeight="1" thickBot="1" x14ac:dyDescent="0.35">
      <c r="A279" s="73" t="s">
        <v>121</v>
      </c>
      <c r="B279" s="73" t="s">
        <v>304</v>
      </c>
      <c r="C279" s="74" t="s">
        <v>376</v>
      </c>
      <c r="D279" s="73">
        <v>2016</v>
      </c>
      <c r="E279" s="75">
        <v>86</v>
      </c>
      <c r="BG279" s="60" t="s">
        <v>353</v>
      </c>
      <c r="BH279" s="20">
        <v>1</v>
      </c>
    </row>
    <row r="280" spans="1:60" ht="13.5" customHeight="1" thickBot="1" x14ac:dyDescent="0.35">
      <c r="A280" s="54" t="s">
        <v>121</v>
      </c>
      <c r="B280" s="54" t="s">
        <v>304</v>
      </c>
      <c r="C280" s="55" t="s">
        <v>376</v>
      </c>
      <c r="D280" s="54">
        <v>2016</v>
      </c>
      <c r="E280" s="56">
        <v>86</v>
      </c>
      <c r="BG280" s="57" t="s">
        <v>354</v>
      </c>
      <c r="BH280">
        <v>1</v>
      </c>
    </row>
    <row r="281" spans="1:60" ht="13.5" customHeight="1" thickBot="1" x14ac:dyDescent="0.35">
      <c r="A281" s="54" t="s">
        <v>121</v>
      </c>
      <c r="B281" s="54" t="s">
        <v>304</v>
      </c>
      <c r="C281" s="55" t="s">
        <v>376</v>
      </c>
      <c r="D281" s="54">
        <v>2016</v>
      </c>
      <c r="E281" s="56">
        <v>86</v>
      </c>
      <c r="BG281" s="57" t="s">
        <v>355</v>
      </c>
      <c r="BH281">
        <v>1</v>
      </c>
    </row>
    <row r="282" spans="1:60" ht="13.5" customHeight="1" thickBot="1" x14ac:dyDescent="0.35">
      <c r="A282" s="54" t="s">
        <v>121</v>
      </c>
      <c r="B282" s="54" t="s">
        <v>304</v>
      </c>
      <c r="C282" s="55" t="s">
        <v>376</v>
      </c>
      <c r="D282" s="54">
        <v>2016</v>
      </c>
      <c r="E282" s="56">
        <v>86</v>
      </c>
      <c r="BG282" s="57" t="s">
        <v>356</v>
      </c>
      <c r="BH282">
        <v>1</v>
      </c>
    </row>
    <row r="283" spans="1:60" ht="13.5" customHeight="1" thickBot="1" x14ac:dyDescent="0.35">
      <c r="A283" s="54" t="s">
        <v>121</v>
      </c>
      <c r="B283" s="54" t="s">
        <v>304</v>
      </c>
      <c r="C283" s="55" t="s">
        <v>376</v>
      </c>
      <c r="D283" s="54">
        <v>2016</v>
      </c>
      <c r="E283" s="56">
        <v>86</v>
      </c>
      <c r="BG283" s="57" t="s">
        <v>357</v>
      </c>
      <c r="BH283">
        <v>1</v>
      </c>
    </row>
    <row r="284" spans="1:60" ht="13.5" customHeight="1" thickBot="1" x14ac:dyDescent="0.35">
      <c r="A284" s="54" t="s">
        <v>121</v>
      </c>
      <c r="B284" s="54" t="s">
        <v>304</v>
      </c>
      <c r="C284" s="55" t="s">
        <v>376</v>
      </c>
      <c r="D284" s="54">
        <v>2016</v>
      </c>
      <c r="E284" s="56">
        <v>86</v>
      </c>
      <c r="BG284" s="57" t="s">
        <v>358</v>
      </c>
      <c r="BH284">
        <v>1</v>
      </c>
    </row>
    <row r="285" spans="1:60" ht="13.5" customHeight="1" thickBot="1" x14ac:dyDescent="0.35">
      <c r="A285" s="54" t="s">
        <v>121</v>
      </c>
      <c r="B285" s="54" t="s">
        <v>304</v>
      </c>
      <c r="C285" s="55" t="s">
        <v>376</v>
      </c>
      <c r="D285" s="54">
        <v>2016</v>
      </c>
      <c r="E285" s="56">
        <v>86</v>
      </c>
      <c r="BG285" s="57" t="s">
        <v>359</v>
      </c>
      <c r="BH285">
        <v>1</v>
      </c>
    </row>
    <row r="286" spans="1:60" ht="13.5" customHeight="1" thickBot="1" x14ac:dyDescent="0.35">
      <c r="A286" s="54" t="s">
        <v>121</v>
      </c>
      <c r="B286" s="54" t="s">
        <v>304</v>
      </c>
      <c r="C286" s="55" t="s">
        <v>376</v>
      </c>
      <c r="D286" s="54">
        <v>2016</v>
      </c>
      <c r="E286" s="56">
        <v>86</v>
      </c>
      <c r="BG286" s="57" t="s">
        <v>360</v>
      </c>
      <c r="BH286">
        <v>1</v>
      </c>
    </row>
    <row r="287" spans="1:60" ht="13.5" customHeight="1" thickBot="1" x14ac:dyDescent="0.35">
      <c r="A287" s="54" t="s">
        <v>121</v>
      </c>
      <c r="B287" s="54" t="s">
        <v>304</v>
      </c>
      <c r="C287" s="55" t="s">
        <v>376</v>
      </c>
      <c r="D287" s="54">
        <v>2016</v>
      </c>
      <c r="E287" s="56">
        <v>86</v>
      </c>
      <c r="BG287" s="57" t="s">
        <v>361</v>
      </c>
      <c r="BH287">
        <v>1</v>
      </c>
    </row>
    <row r="288" spans="1:60" ht="13.5" customHeight="1" thickBot="1" x14ac:dyDescent="0.35">
      <c r="A288" s="54" t="s">
        <v>121</v>
      </c>
      <c r="B288" s="54" t="s">
        <v>304</v>
      </c>
      <c r="C288" s="55" t="s">
        <v>376</v>
      </c>
      <c r="D288" s="54">
        <v>2016</v>
      </c>
      <c r="E288" s="56">
        <v>86</v>
      </c>
      <c r="BG288" s="57" t="s">
        <v>362</v>
      </c>
      <c r="BH288">
        <v>1</v>
      </c>
    </row>
    <row r="289" spans="1:60" ht="13.5" customHeight="1" thickBot="1" x14ac:dyDescent="0.35">
      <c r="A289" s="54" t="s">
        <v>121</v>
      </c>
      <c r="B289" s="54" t="s">
        <v>304</v>
      </c>
      <c r="C289" s="55" t="s">
        <v>376</v>
      </c>
      <c r="D289" s="54">
        <v>2016</v>
      </c>
      <c r="E289" s="56">
        <v>86</v>
      </c>
      <c r="BG289" s="57" t="s">
        <v>363</v>
      </c>
      <c r="BH289">
        <v>1</v>
      </c>
    </row>
    <row r="290" spans="1:60" ht="13.5" customHeight="1" thickBot="1" x14ac:dyDescent="0.35">
      <c r="A290" s="54" t="s">
        <v>121</v>
      </c>
      <c r="B290" s="54" t="s">
        <v>304</v>
      </c>
      <c r="C290" s="55" t="s">
        <v>376</v>
      </c>
      <c r="D290" s="54">
        <v>2016</v>
      </c>
      <c r="E290" s="56">
        <v>86</v>
      </c>
      <c r="BG290" s="57" t="s">
        <v>364</v>
      </c>
      <c r="BH290" s="79" t="s">
        <v>191</v>
      </c>
    </row>
    <row r="291" spans="1:60" ht="13.5" customHeight="1" thickBot="1" x14ac:dyDescent="0.35">
      <c r="A291" s="54" t="s">
        <v>121</v>
      </c>
      <c r="B291" s="54" t="s">
        <v>304</v>
      </c>
      <c r="C291" s="55" t="s">
        <v>376</v>
      </c>
      <c r="D291" s="54">
        <v>2016</v>
      </c>
      <c r="E291" s="56">
        <v>86</v>
      </c>
      <c r="BG291" s="57" t="s">
        <v>366</v>
      </c>
      <c r="BH291" s="79" t="s">
        <v>191</v>
      </c>
    </row>
    <row r="292" spans="1:60" ht="13.5" customHeight="1" thickBot="1" x14ac:dyDescent="0.35">
      <c r="A292" s="54" t="s">
        <v>121</v>
      </c>
      <c r="B292" s="54" t="s">
        <v>304</v>
      </c>
      <c r="C292" s="55" t="s">
        <v>376</v>
      </c>
      <c r="D292" s="54">
        <v>2016</v>
      </c>
      <c r="E292" s="56">
        <v>86</v>
      </c>
      <c r="BG292" s="57" t="s">
        <v>365</v>
      </c>
      <c r="BH292" s="79" t="s">
        <v>191</v>
      </c>
    </row>
    <row r="293" spans="1:60" ht="13.5" customHeight="1" thickBot="1" x14ac:dyDescent="0.35">
      <c r="A293" s="54" t="s">
        <v>121</v>
      </c>
      <c r="B293" s="54" t="s">
        <v>304</v>
      </c>
      <c r="C293" s="55" t="s">
        <v>376</v>
      </c>
      <c r="D293" s="54">
        <v>2016</v>
      </c>
      <c r="E293" s="56">
        <v>86</v>
      </c>
      <c r="BG293" s="57" t="s">
        <v>367</v>
      </c>
      <c r="BH293" s="79" t="s">
        <v>191</v>
      </c>
    </row>
    <row r="294" spans="1:60" ht="13.5" customHeight="1" thickBot="1" x14ac:dyDescent="0.35">
      <c r="A294" s="54" t="s">
        <v>121</v>
      </c>
      <c r="B294" s="54" t="s">
        <v>304</v>
      </c>
      <c r="C294" s="55" t="s">
        <v>376</v>
      </c>
      <c r="D294" s="54">
        <v>2016</v>
      </c>
      <c r="E294" s="56">
        <v>86</v>
      </c>
      <c r="BG294" s="57" t="s">
        <v>368</v>
      </c>
      <c r="BH294" s="79" t="s">
        <v>191</v>
      </c>
    </row>
    <row r="295" spans="1:60" ht="13.5" customHeight="1" thickBot="1" x14ac:dyDescent="0.35">
      <c r="A295" s="54" t="s">
        <v>121</v>
      </c>
      <c r="B295" s="54" t="s">
        <v>304</v>
      </c>
      <c r="C295" s="55" t="s">
        <v>376</v>
      </c>
      <c r="D295" s="54">
        <v>2016</v>
      </c>
      <c r="E295" s="56">
        <v>86</v>
      </c>
      <c r="BG295" s="57" t="s">
        <v>369</v>
      </c>
      <c r="BH295" s="79" t="s">
        <v>191</v>
      </c>
    </row>
    <row r="296" spans="1:60" ht="13.5" customHeight="1" thickBot="1" x14ac:dyDescent="0.35">
      <c r="A296" s="54" t="s">
        <v>121</v>
      </c>
      <c r="B296" s="54" t="s">
        <v>304</v>
      </c>
      <c r="C296" s="55" t="s">
        <v>376</v>
      </c>
      <c r="D296" s="54">
        <v>2016</v>
      </c>
      <c r="E296" s="56">
        <v>86</v>
      </c>
      <c r="BG296" s="57" t="s">
        <v>370</v>
      </c>
      <c r="BH296" s="79" t="s">
        <v>191</v>
      </c>
    </row>
    <row r="297" spans="1:60" ht="13.5" customHeight="1" thickBot="1" x14ac:dyDescent="0.35">
      <c r="A297" s="54" t="s">
        <v>121</v>
      </c>
      <c r="B297" s="54" t="s">
        <v>304</v>
      </c>
      <c r="C297" s="55" t="s">
        <v>376</v>
      </c>
      <c r="D297" s="54">
        <v>2016</v>
      </c>
      <c r="E297" s="56">
        <v>86</v>
      </c>
      <c r="BG297" s="57" t="s">
        <v>371</v>
      </c>
      <c r="BH297" s="79" t="s">
        <v>191</v>
      </c>
    </row>
    <row r="298" spans="1:60" ht="13.5" customHeight="1" thickBot="1" x14ac:dyDescent="0.35">
      <c r="A298" s="54" t="s">
        <v>121</v>
      </c>
      <c r="B298" s="54" t="s">
        <v>304</v>
      </c>
      <c r="C298" s="55" t="s">
        <v>376</v>
      </c>
      <c r="D298" s="54">
        <v>2016</v>
      </c>
      <c r="E298" s="56">
        <v>86</v>
      </c>
      <c r="BG298" s="57" t="s">
        <v>372</v>
      </c>
      <c r="BH298" s="79" t="s">
        <v>191</v>
      </c>
    </row>
    <row r="299" spans="1:60" ht="13.5" customHeight="1" thickBot="1" x14ac:dyDescent="0.35">
      <c r="A299" s="54" t="s">
        <v>121</v>
      </c>
      <c r="B299" s="54" t="s">
        <v>304</v>
      </c>
      <c r="C299" s="55" t="s">
        <v>376</v>
      </c>
      <c r="D299" s="54">
        <v>2016</v>
      </c>
      <c r="E299" s="56">
        <v>86</v>
      </c>
      <c r="BG299" s="57" t="s">
        <v>373</v>
      </c>
      <c r="BH299" s="79" t="s">
        <v>191</v>
      </c>
    </row>
    <row r="300" spans="1:60" ht="13.5" customHeight="1" thickBot="1" x14ac:dyDescent="0.35">
      <c r="A300" s="54" t="s">
        <v>121</v>
      </c>
      <c r="B300" s="54" t="s">
        <v>304</v>
      </c>
      <c r="C300" s="55" t="s">
        <v>376</v>
      </c>
      <c r="D300" s="54">
        <v>2016</v>
      </c>
      <c r="E300" s="56">
        <v>86</v>
      </c>
      <c r="BG300" s="57" t="s">
        <v>374</v>
      </c>
      <c r="BH300" s="79" t="s">
        <v>191</v>
      </c>
    </row>
    <row r="301" spans="1:60" s="64" customFormat="1" ht="13.5" customHeight="1" x14ac:dyDescent="0.3">
      <c r="A301" s="61" t="s">
        <v>121</v>
      </c>
      <c r="B301" s="61" t="s">
        <v>304</v>
      </c>
      <c r="C301" s="62" t="s">
        <v>376</v>
      </c>
      <c r="D301" s="61">
        <v>2016</v>
      </c>
      <c r="E301" s="63">
        <v>86</v>
      </c>
      <c r="BG301" s="65" t="s">
        <v>375</v>
      </c>
      <c r="BH301" s="80" t="s">
        <v>191</v>
      </c>
    </row>
    <row r="302" spans="1:60" s="20" customFormat="1" ht="13.5" customHeight="1" thickBot="1" x14ac:dyDescent="0.35">
      <c r="A302" s="73" t="s">
        <v>121</v>
      </c>
      <c r="B302" s="73" t="s">
        <v>305</v>
      </c>
      <c r="C302" s="74" t="s">
        <v>477</v>
      </c>
      <c r="D302" s="73">
        <v>2024</v>
      </c>
      <c r="E302" s="75">
        <v>87</v>
      </c>
      <c r="BG302" s="60" t="s">
        <v>472</v>
      </c>
      <c r="BH302" s="20">
        <v>0</v>
      </c>
    </row>
    <row r="303" spans="1:60" s="20" customFormat="1" ht="13.5" customHeight="1" thickBot="1" x14ac:dyDescent="0.35">
      <c r="A303" s="73" t="s">
        <v>121</v>
      </c>
      <c r="B303" s="73" t="s">
        <v>305</v>
      </c>
      <c r="C303" s="74" t="s">
        <v>477</v>
      </c>
      <c r="D303" s="73">
        <v>2024</v>
      </c>
      <c r="E303" s="75">
        <v>87</v>
      </c>
      <c r="BG303" s="60" t="s">
        <v>473</v>
      </c>
      <c r="BH303" s="20">
        <v>0</v>
      </c>
    </row>
    <row r="304" spans="1:60" s="20" customFormat="1" ht="13.5" customHeight="1" thickBot="1" x14ac:dyDescent="0.35">
      <c r="A304" s="73" t="s">
        <v>121</v>
      </c>
      <c r="B304" s="73" t="s">
        <v>305</v>
      </c>
      <c r="C304" s="74" t="s">
        <v>477</v>
      </c>
      <c r="D304" s="73">
        <v>2024</v>
      </c>
      <c r="E304" s="75">
        <v>87</v>
      </c>
      <c r="BG304" s="60" t="s">
        <v>474</v>
      </c>
      <c r="BH304" s="20">
        <v>0</v>
      </c>
    </row>
    <row r="305" spans="1:60" s="20" customFormat="1" ht="13.5" customHeight="1" thickBot="1" x14ac:dyDescent="0.35">
      <c r="A305" s="73" t="s">
        <v>121</v>
      </c>
      <c r="B305" s="73" t="s">
        <v>305</v>
      </c>
      <c r="C305" s="74" t="s">
        <v>477</v>
      </c>
      <c r="D305" s="73">
        <v>2024</v>
      </c>
      <c r="E305" s="75">
        <v>87</v>
      </c>
      <c r="BG305" s="60" t="s">
        <v>475</v>
      </c>
      <c r="BH305" s="20">
        <v>0</v>
      </c>
    </row>
    <row r="306" spans="1:60" s="64" customFormat="1" ht="13.5" customHeight="1" x14ac:dyDescent="0.3">
      <c r="A306" s="76" t="s">
        <v>121</v>
      </c>
      <c r="B306" s="76" t="s">
        <v>305</v>
      </c>
      <c r="C306" s="77" t="s">
        <v>477</v>
      </c>
      <c r="D306" s="76">
        <v>2024</v>
      </c>
      <c r="E306" s="78">
        <v>87</v>
      </c>
      <c r="BG306" s="65" t="s">
        <v>476</v>
      </c>
      <c r="BH306" s="64">
        <v>0</v>
      </c>
    </row>
    <row r="307" spans="1:60" s="20" customFormat="1" ht="13.5" customHeight="1" thickBot="1" x14ac:dyDescent="0.35">
      <c r="A307" s="73" t="s">
        <v>121</v>
      </c>
      <c r="B307" s="73" t="s">
        <v>306</v>
      </c>
      <c r="C307" s="74" t="s">
        <v>307</v>
      </c>
      <c r="D307" s="73">
        <v>2021</v>
      </c>
      <c r="E307" s="75">
        <v>88</v>
      </c>
      <c r="BG307" s="60" t="s">
        <v>377</v>
      </c>
      <c r="BH307" s="20">
        <v>3</v>
      </c>
    </row>
    <row r="308" spans="1:60" ht="13.5" customHeight="1" thickBot="1" x14ac:dyDescent="0.35">
      <c r="A308" s="54" t="s">
        <v>121</v>
      </c>
      <c r="B308" s="54" t="s">
        <v>306</v>
      </c>
      <c r="C308" s="55" t="s">
        <v>307</v>
      </c>
      <c r="D308" s="54">
        <v>2021</v>
      </c>
      <c r="E308" s="56">
        <v>88</v>
      </c>
      <c r="BG308" s="60" t="s">
        <v>378</v>
      </c>
      <c r="BH308">
        <v>3</v>
      </c>
    </row>
    <row r="309" spans="1:60" ht="13.5" customHeight="1" thickBot="1" x14ac:dyDescent="0.35">
      <c r="A309" s="54" t="s">
        <v>121</v>
      </c>
      <c r="B309" s="54" t="s">
        <v>306</v>
      </c>
      <c r="C309" s="55" t="s">
        <v>307</v>
      </c>
      <c r="D309" s="54">
        <v>2021</v>
      </c>
      <c r="E309" s="56">
        <v>88</v>
      </c>
      <c r="BG309" s="60" t="s">
        <v>379</v>
      </c>
      <c r="BH309">
        <v>3</v>
      </c>
    </row>
    <row r="310" spans="1:60" ht="13.5" customHeight="1" thickBot="1" x14ac:dyDescent="0.35">
      <c r="A310" s="54" t="s">
        <v>121</v>
      </c>
      <c r="B310" s="54" t="s">
        <v>306</v>
      </c>
      <c r="C310" s="55" t="s">
        <v>307</v>
      </c>
      <c r="D310" s="54">
        <v>2021</v>
      </c>
      <c r="E310" s="56">
        <v>88</v>
      </c>
      <c r="BG310" s="60" t="s">
        <v>380</v>
      </c>
      <c r="BH310">
        <v>3</v>
      </c>
    </row>
    <row r="311" spans="1:60" ht="13.5" customHeight="1" thickBot="1" x14ac:dyDescent="0.35">
      <c r="A311" s="54" t="s">
        <v>121</v>
      </c>
      <c r="B311" s="54" t="s">
        <v>306</v>
      </c>
      <c r="C311" s="55" t="s">
        <v>307</v>
      </c>
      <c r="D311" s="54">
        <v>2021</v>
      </c>
      <c r="E311" s="56">
        <v>88</v>
      </c>
      <c r="BG311" s="60" t="s">
        <v>381</v>
      </c>
      <c r="BH311">
        <v>3</v>
      </c>
    </row>
    <row r="312" spans="1:60" ht="13.5" customHeight="1" thickBot="1" x14ac:dyDescent="0.35">
      <c r="A312" s="54" t="s">
        <v>121</v>
      </c>
      <c r="B312" s="54" t="s">
        <v>306</v>
      </c>
      <c r="C312" s="55" t="s">
        <v>307</v>
      </c>
      <c r="D312" s="54">
        <v>2021</v>
      </c>
      <c r="E312" s="56">
        <v>88</v>
      </c>
      <c r="BG312" s="60" t="s">
        <v>382</v>
      </c>
      <c r="BH312">
        <v>3</v>
      </c>
    </row>
    <row r="313" spans="1:60" ht="13.5" customHeight="1" thickBot="1" x14ac:dyDescent="0.35">
      <c r="A313" s="54" t="s">
        <v>121</v>
      </c>
      <c r="B313" s="54" t="s">
        <v>306</v>
      </c>
      <c r="C313" s="55" t="s">
        <v>307</v>
      </c>
      <c r="D313" s="54">
        <v>2021</v>
      </c>
      <c r="E313" s="56">
        <v>88</v>
      </c>
      <c r="BG313" s="60" t="s">
        <v>383</v>
      </c>
      <c r="BH313">
        <v>3</v>
      </c>
    </row>
    <row r="314" spans="1:60" s="64" customFormat="1" ht="13.5" customHeight="1" x14ac:dyDescent="0.3">
      <c r="A314" s="61" t="s">
        <v>121</v>
      </c>
      <c r="B314" s="61" t="s">
        <v>306</v>
      </c>
      <c r="C314" s="62" t="s">
        <v>307</v>
      </c>
      <c r="D314" s="61">
        <v>2021</v>
      </c>
      <c r="E314" s="63">
        <v>88</v>
      </c>
      <c r="BG314" s="65" t="s">
        <v>384</v>
      </c>
      <c r="BH314" s="64">
        <v>3</v>
      </c>
    </row>
    <row r="315" spans="1:60" s="20" customFormat="1" ht="13.5" customHeight="1" thickBot="1" x14ac:dyDescent="0.35">
      <c r="A315" s="73" t="s">
        <v>121</v>
      </c>
      <c r="B315" s="73" t="s">
        <v>308</v>
      </c>
      <c r="C315" s="74" t="s">
        <v>309</v>
      </c>
      <c r="D315" s="73">
        <v>2022</v>
      </c>
      <c r="E315" s="75">
        <v>89</v>
      </c>
      <c r="BG315" s="60" t="s">
        <v>344</v>
      </c>
      <c r="BH315" s="81" t="s">
        <v>191</v>
      </c>
    </row>
    <row r="316" spans="1:60" ht="13.5" customHeight="1" thickBot="1" x14ac:dyDescent="0.35">
      <c r="A316" s="73" t="s">
        <v>121</v>
      </c>
      <c r="B316" s="73" t="s">
        <v>308</v>
      </c>
      <c r="C316" s="74" t="s">
        <v>309</v>
      </c>
      <c r="D316" s="73">
        <v>2022</v>
      </c>
      <c r="E316" s="75">
        <v>89</v>
      </c>
      <c r="BG316" t="s">
        <v>345</v>
      </c>
      <c r="BH316" s="79" t="s">
        <v>191</v>
      </c>
    </row>
    <row r="317" spans="1:60" ht="13.5" customHeight="1" thickBot="1" x14ac:dyDescent="0.35">
      <c r="A317" s="73" t="s">
        <v>121</v>
      </c>
      <c r="B317" s="73" t="s">
        <v>308</v>
      </c>
      <c r="C317" s="74" t="s">
        <v>309</v>
      </c>
      <c r="D317" s="73">
        <v>2022</v>
      </c>
      <c r="E317" s="75">
        <v>89</v>
      </c>
      <c r="BG317" s="57" t="s">
        <v>385</v>
      </c>
      <c r="BH317" s="79" t="s">
        <v>191</v>
      </c>
    </row>
    <row r="318" spans="1:60" ht="13.5" customHeight="1" thickBot="1" x14ac:dyDescent="0.35">
      <c r="A318" s="73" t="s">
        <v>121</v>
      </c>
      <c r="B318" s="73" t="s">
        <v>308</v>
      </c>
      <c r="C318" s="74" t="s">
        <v>309</v>
      </c>
      <c r="D318" s="73">
        <v>2022</v>
      </c>
      <c r="E318" s="75">
        <v>89</v>
      </c>
      <c r="BG318" s="57" t="s">
        <v>386</v>
      </c>
      <c r="BH318" s="79" t="s">
        <v>191</v>
      </c>
    </row>
    <row r="319" spans="1:60" ht="13.5" customHeight="1" thickBot="1" x14ac:dyDescent="0.35">
      <c r="A319" s="73" t="s">
        <v>121</v>
      </c>
      <c r="B319" s="73" t="s">
        <v>308</v>
      </c>
      <c r="C319" s="74" t="s">
        <v>309</v>
      </c>
      <c r="D319" s="73">
        <v>2022</v>
      </c>
      <c r="E319" s="75">
        <v>89</v>
      </c>
      <c r="BG319" s="57" t="s">
        <v>387</v>
      </c>
      <c r="BH319" s="79" t="s">
        <v>191</v>
      </c>
    </row>
    <row r="320" spans="1:60" s="64" customFormat="1" ht="13.5" customHeight="1" x14ac:dyDescent="0.3">
      <c r="A320" s="76" t="s">
        <v>121</v>
      </c>
      <c r="B320" s="76" t="s">
        <v>308</v>
      </c>
      <c r="C320" s="77" t="s">
        <v>309</v>
      </c>
      <c r="D320" s="76">
        <v>2022</v>
      </c>
      <c r="E320" s="78">
        <v>89</v>
      </c>
      <c r="BG320" s="65" t="s">
        <v>388</v>
      </c>
      <c r="BH320" s="80" t="s">
        <v>191</v>
      </c>
    </row>
    <row r="321" spans="1:60" s="20" customFormat="1" ht="13.5" customHeight="1" thickBot="1" x14ac:dyDescent="0.35">
      <c r="A321" s="73" t="s">
        <v>121</v>
      </c>
      <c r="B321" s="73" t="s">
        <v>310</v>
      </c>
      <c r="C321" s="74" t="s">
        <v>488</v>
      </c>
      <c r="D321" s="73">
        <v>2017</v>
      </c>
      <c r="E321" s="75">
        <v>90</v>
      </c>
      <c r="BG321" s="60" t="s">
        <v>478</v>
      </c>
      <c r="BH321" s="60">
        <v>0</v>
      </c>
    </row>
    <row r="322" spans="1:60" ht="13.5" customHeight="1" thickBot="1" x14ac:dyDescent="0.35">
      <c r="A322" s="54" t="s">
        <v>121</v>
      </c>
      <c r="B322" s="54" t="s">
        <v>310</v>
      </c>
      <c r="C322" s="55" t="s">
        <v>488</v>
      </c>
      <c r="D322" s="54">
        <v>2017</v>
      </c>
      <c r="E322" s="56">
        <v>90</v>
      </c>
      <c r="BG322" s="57" t="s">
        <v>479</v>
      </c>
      <c r="BH322">
        <v>0</v>
      </c>
    </row>
    <row r="323" spans="1:60" ht="13.5" customHeight="1" thickBot="1" x14ac:dyDescent="0.35">
      <c r="A323" s="54" t="s">
        <v>121</v>
      </c>
      <c r="B323" s="54" t="s">
        <v>310</v>
      </c>
      <c r="C323" s="55" t="s">
        <v>488</v>
      </c>
      <c r="D323" s="54">
        <v>2017</v>
      </c>
      <c r="E323" s="56">
        <v>90</v>
      </c>
      <c r="BG323" s="57" t="s">
        <v>480</v>
      </c>
      <c r="BH323">
        <v>3</v>
      </c>
    </row>
    <row r="324" spans="1:60" ht="13.5" customHeight="1" thickBot="1" x14ac:dyDescent="0.35">
      <c r="A324" s="54" t="s">
        <v>121</v>
      </c>
      <c r="B324" s="54" t="s">
        <v>310</v>
      </c>
      <c r="C324" s="55" t="s">
        <v>488</v>
      </c>
      <c r="D324" s="54">
        <v>2017</v>
      </c>
      <c r="E324" s="56">
        <v>90</v>
      </c>
      <c r="BG324" s="57" t="s">
        <v>481</v>
      </c>
      <c r="BH324">
        <v>3</v>
      </c>
    </row>
    <row r="325" spans="1:60" ht="13.5" customHeight="1" thickBot="1" x14ac:dyDescent="0.35">
      <c r="A325" s="54" t="s">
        <v>121</v>
      </c>
      <c r="B325" s="54" t="s">
        <v>310</v>
      </c>
      <c r="C325" s="55" t="s">
        <v>488</v>
      </c>
      <c r="D325" s="54">
        <v>2017</v>
      </c>
      <c r="E325" s="56">
        <v>90</v>
      </c>
      <c r="BG325" s="57" t="s">
        <v>482</v>
      </c>
      <c r="BH325">
        <v>3</v>
      </c>
    </row>
    <row r="326" spans="1:60" ht="13.5" customHeight="1" thickBot="1" x14ac:dyDescent="0.35">
      <c r="A326" s="54" t="s">
        <v>121</v>
      </c>
      <c r="B326" s="54" t="s">
        <v>310</v>
      </c>
      <c r="C326" s="55" t="s">
        <v>488</v>
      </c>
      <c r="D326" s="54">
        <v>2017</v>
      </c>
      <c r="E326" s="56">
        <v>90</v>
      </c>
      <c r="BG326" s="57" t="s">
        <v>483</v>
      </c>
      <c r="BH326">
        <v>3</v>
      </c>
    </row>
    <row r="327" spans="1:60" ht="13.5" customHeight="1" thickBot="1" x14ac:dyDescent="0.35">
      <c r="A327" s="54" t="s">
        <v>121</v>
      </c>
      <c r="B327" s="54" t="s">
        <v>310</v>
      </c>
      <c r="C327" s="55" t="s">
        <v>488</v>
      </c>
      <c r="D327" s="54">
        <v>2017</v>
      </c>
      <c r="E327" s="56">
        <v>90</v>
      </c>
      <c r="BG327" s="57" t="s">
        <v>484</v>
      </c>
      <c r="BH327">
        <v>3</v>
      </c>
    </row>
    <row r="328" spans="1:60" ht="13.5" customHeight="1" thickBot="1" x14ac:dyDescent="0.35">
      <c r="A328" s="54" t="s">
        <v>121</v>
      </c>
      <c r="B328" s="54" t="s">
        <v>310</v>
      </c>
      <c r="C328" s="55" t="s">
        <v>488</v>
      </c>
      <c r="D328" s="54">
        <v>2017</v>
      </c>
      <c r="E328" s="56">
        <v>90</v>
      </c>
      <c r="BG328" s="57" t="s">
        <v>485</v>
      </c>
      <c r="BH328">
        <v>3</v>
      </c>
    </row>
    <row r="329" spans="1:60" ht="13.5" customHeight="1" thickBot="1" x14ac:dyDescent="0.35">
      <c r="A329" s="54" t="s">
        <v>121</v>
      </c>
      <c r="B329" s="54" t="s">
        <v>310</v>
      </c>
      <c r="C329" s="55" t="s">
        <v>488</v>
      </c>
      <c r="D329" s="54">
        <v>2017</v>
      </c>
      <c r="E329" s="56">
        <v>90</v>
      </c>
      <c r="BG329" s="57" t="s">
        <v>486</v>
      </c>
      <c r="BH329">
        <v>3</v>
      </c>
    </row>
    <row r="330" spans="1:60" s="64" customFormat="1" ht="13.5" customHeight="1" x14ac:dyDescent="0.3">
      <c r="A330" s="61" t="s">
        <v>121</v>
      </c>
      <c r="B330" s="61" t="s">
        <v>310</v>
      </c>
      <c r="C330" s="62" t="s">
        <v>488</v>
      </c>
      <c r="D330" s="61">
        <v>2017</v>
      </c>
      <c r="E330" s="63">
        <v>90</v>
      </c>
      <c r="BG330" s="65" t="s">
        <v>487</v>
      </c>
      <c r="BH330" s="64">
        <v>3</v>
      </c>
    </row>
    <row r="331" spans="1:60" s="99" customFormat="1" ht="13.5" customHeight="1" x14ac:dyDescent="0.3">
      <c r="A331" s="95" t="s">
        <v>121</v>
      </c>
      <c r="B331" s="96" t="s">
        <v>311</v>
      </c>
      <c r="C331" s="97" t="s">
        <v>312</v>
      </c>
      <c r="D331" s="95">
        <v>2025</v>
      </c>
      <c r="E331" s="98">
        <v>91</v>
      </c>
      <c r="BG331" s="100"/>
    </row>
    <row r="332" spans="1:60" s="20" customFormat="1" ht="13.5" customHeight="1" thickBot="1" x14ac:dyDescent="0.35">
      <c r="A332" s="93" t="s">
        <v>121</v>
      </c>
      <c r="B332" s="93" t="s">
        <v>313</v>
      </c>
      <c r="C332" s="93" t="s">
        <v>498</v>
      </c>
      <c r="D332" s="94">
        <v>2025</v>
      </c>
      <c r="E332" s="94">
        <v>92</v>
      </c>
      <c r="BG332" s="60" t="s">
        <v>490</v>
      </c>
      <c r="BH332" s="20">
        <v>3</v>
      </c>
    </row>
    <row r="333" spans="1:60" s="20" customFormat="1" ht="13.5" customHeight="1" thickBot="1" x14ac:dyDescent="0.35">
      <c r="A333" s="58" t="s">
        <v>121</v>
      </c>
      <c r="B333" s="58" t="s">
        <v>313</v>
      </c>
      <c r="C333" s="58" t="s">
        <v>498</v>
      </c>
      <c r="D333" s="59">
        <v>2025</v>
      </c>
      <c r="E333" s="59">
        <v>92</v>
      </c>
      <c r="BG333" s="60" t="s">
        <v>489</v>
      </c>
      <c r="BH333" s="20">
        <v>3</v>
      </c>
    </row>
    <row r="334" spans="1:60" s="20" customFormat="1" ht="13.5" customHeight="1" thickBot="1" x14ac:dyDescent="0.35">
      <c r="A334" s="58" t="s">
        <v>121</v>
      </c>
      <c r="B334" s="58" t="s">
        <v>313</v>
      </c>
      <c r="C334" s="58" t="s">
        <v>498</v>
      </c>
      <c r="D334" s="59">
        <v>2025</v>
      </c>
      <c r="E334" s="59">
        <v>92</v>
      </c>
      <c r="BG334" s="60" t="s">
        <v>491</v>
      </c>
      <c r="BH334" s="20">
        <v>3</v>
      </c>
    </row>
    <row r="335" spans="1:60" s="20" customFormat="1" ht="13.5" customHeight="1" thickBot="1" x14ac:dyDescent="0.35">
      <c r="A335" s="58" t="s">
        <v>121</v>
      </c>
      <c r="B335" s="58" t="s">
        <v>313</v>
      </c>
      <c r="C335" s="58" t="s">
        <v>498</v>
      </c>
      <c r="D335" s="59">
        <v>2025</v>
      </c>
      <c r="E335" s="59">
        <v>92</v>
      </c>
      <c r="BG335" s="60" t="s">
        <v>492</v>
      </c>
      <c r="BH335" s="20">
        <v>3</v>
      </c>
    </row>
    <row r="336" spans="1:60" s="20" customFormat="1" ht="13.5" customHeight="1" thickBot="1" x14ac:dyDescent="0.35">
      <c r="A336" s="58" t="s">
        <v>121</v>
      </c>
      <c r="B336" s="58" t="s">
        <v>313</v>
      </c>
      <c r="C336" s="58" t="s">
        <v>498</v>
      </c>
      <c r="D336" s="59">
        <v>2025</v>
      </c>
      <c r="E336" s="59">
        <v>92</v>
      </c>
      <c r="BG336" s="60" t="s">
        <v>493</v>
      </c>
      <c r="BH336" s="20">
        <v>3</v>
      </c>
    </row>
    <row r="337" spans="1:60" s="20" customFormat="1" ht="13.5" customHeight="1" thickBot="1" x14ac:dyDescent="0.35">
      <c r="A337" s="58" t="s">
        <v>121</v>
      </c>
      <c r="B337" s="58" t="s">
        <v>313</v>
      </c>
      <c r="C337" s="58" t="s">
        <v>498</v>
      </c>
      <c r="D337" s="59">
        <v>2025</v>
      </c>
      <c r="E337" s="59">
        <v>92</v>
      </c>
      <c r="BG337" s="60" t="s">
        <v>494</v>
      </c>
      <c r="BH337" s="20">
        <v>3</v>
      </c>
    </row>
    <row r="338" spans="1:60" s="20" customFormat="1" ht="13.5" customHeight="1" thickBot="1" x14ac:dyDescent="0.35">
      <c r="A338" s="58" t="s">
        <v>121</v>
      </c>
      <c r="B338" s="58" t="s">
        <v>313</v>
      </c>
      <c r="C338" s="58" t="s">
        <v>498</v>
      </c>
      <c r="D338" s="59">
        <v>2025</v>
      </c>
      <c r="E338" s="59">
        <v>92</v>
      </c>
      <c r="BG338" s="60" t="s">
        <v>495</v>
      </c>
      <c r="BH338" s="20">
        <v>3</v>
      </c>
    </row>
    <row r="339" spans="1:60" s="20" customFormat="1" ht="13.5" customHeight="1" thickBot="1" x14ac:dyDescent="0.35">
      <c r="A339" s="58" t="s">
        <v>121</v>
      </c>
      <c r="B339" s="58" t="s">
        <v>313</v>
      </c>
      <c r="C339" s="58" t="s">
        <v>498</v>
      </c>
      <c r="D339" s="59">
        <v>2025</v>
      </c>
      <c r="E339" s="59">
        <v>92</v>
      </c>
      <c r="BG339" s="60" t="s">
        <v>496</v>
      </c>
      <c r="BH339" s="20">
        <v>3</v>
      </c>
    </row>
    <row r="340" spans="1:60" s="20" customFormat="1" ht="13.5" customHeight="1" thickBot="1" x14ac:dyDescent="0.35">
      <c r="A340" s="58" t="s">
        <v>121</v>
      </c>
      <c r="B340" s="58" t="s">
        <v>313</v>
      </c>
      <c r="C340" s="58" t="s">
        <v>498</v>
      </c>
      <c r="D340" s="59">
        <v>2025</v>
      </c>
      <c r="E340" s="59">
        <v>92</v>
      </c>
      <c r="BG340" s="60" t="s">
        <v>381</v>
      </c>
      <c r="BH340" s="20">
        <v>3</v>
      </c>
    </row>
    <row r="341" spans="1:60" s="64" customFormat="1" ht="13.5" customHeight="1" x14ac:dyDescent="0.3">
      <c r="A341" s="61" t="s">
        <v>121</v>
      </c>
      <c r="B341" s="61" t="s">
        <v>313</v>
      </c>
      <c r="C341" s="61" t="s">
        <v>498</v>
      </c>
      <c r="D341" s="63">
        <v>2025</v>
      </c>
      <c r="E341" s="63">
        <v>92</v>
      </c>
      <c r="BG341" s="65" t="s">
        <v>497</v>
      </c>
      <c r="BH341" s="80" t="s">
        <v>191</v>
      </c>
    </row>
    <row r="342" spans="1:60" s="20" customFormat="1" ht="13.5" customHeight="1" x14ac:dyDescent="0.3">
      <c r="A342" s="66" t="s">
        <v>117</v>
      </c>
      <c r="B342" s="66" t="s">
        <v>314</v>
      </c>
      <c r="C342" s="67" t="s">
        <v>335</v>
      </c>
      <c r="D342" s="66">
        <v>2025</v>
      </c>
      <c r="E342" s="68">
        <v>93</v>
      </c>
      <c r="BG342" s="60" t="s">
        <v>316</v>
      </c>
    </row>
    <row r="343" spans="1:60" ht="13.5" customHeight="1" x14ac:dyDescent="0.3">
      <c r="A343" s="66" t="s">
        <v>117</v>
      </c>
      <c r="B343" s="66" t="s">
        <v>314</v>
      </c>
      <c r="C343" s="67" t="s">
        <v>335</v>
      </c>
      <c r="D343" s="66">
        <v>2025</v>
      </c>
      <c r="E343" s="68">
        <v>93</v>
      </c>
      <c r="BG343" s="57" t="s">
        <v>317</v>
      </c>
      <c r="BH343">
        <v>1</v>
      </c>
    </row>
    <row r="344" spans="1:60" ht="13.5" customHeight="1" x14ac:dyDescent="0.3">
      <c r="A344" s="66" t="s">
        <v>117</v>
      </c>
      <c r="B344" s="66" t="s">
        <v>314</v>
      </c>
      <c r="C344" s="67" t="s">
        <v>335</v>
      </c>
      <c r="D344" s="66">
        <v>2025</v>
      </c>
      <c r="E344" s="68">
        <v>93</v>
      </c>
      <c r="BG344" s="57" t="s">
        <v>318</v>
      </c>
      <c r="BH344">
        <v>1</v>
      </c>
    </row>
    <row r="345" spans="1:60" ht="13.5" customHeight="1" x14ac:dyDescent="0.3">
      <c r="A345" s="66" t="s">
        <v>117</v>
      </c>
      <c r="B345" s="66" t="s">
        <v>314</v>
      </c>
      <c r="C345" s="67" t="s">
        <v>335</v>
      </c>
      <c r="D345" s="66">
        <v>2025</v>
      </c>
      <c r="E345" s="68">
        <v>93</v>
      </c>
      <c r="BG345" s="57" t="s">
        <v>199</v>
      </c>
      <c r="BH345">
        <v>1</v>
      </c>
    </row>
    <row r="346" spans="1:60" ht="13.5" customHeight="1" x14ac:dyDescent="0.3">
      <c r="A346" s="66" t="s">
        <v>117</v>
      </c>
      <c r="B346" s="66" t="s">
        <v>314</v>
      </c>
      <c r="C346" s="67" t="s">
        <v>335</v>
      </c>
      <c r="D346" s="66">
        <v>2025</v>
      </c>
      <c r="E346" s="68">
        <v>93</v>
      </c>
      <c r="BG346" s="57" t="s">
        <v>319</v>
      </c>
      <c r="BH346">
        <v>3</v>
      </c>
    </row>
    <row r="347" spans="1:60" ht="13.5" customHeight="1" x14ac:dyDescent="0.3">
      <c r="A347" s="66" t="s">
        <v>117</v>
      </c>
      <c r="B347" s="129" t="s">
        <v>314</v>
      </c>
      <c r="C347" s="67" t="s">
        <v>335</v>
      </c>
      <c r="D347" s="66">
        <v>2025</v>
      </c>
      <c r="E347" s="68">
        <v>93</v>
      </c>
      <c r="BG347" s="57" t="s">
        <v>320</v>
      </c>
      <c r="BH347">
        <v>3</v>
      </c>
    </row>
    <row r="348" spans="1:60" ht="13.5" customHeight="1" x14ac:dyDescent="0.3">
      <c r="A348" s="66" t="s">
        <v>117</v>
      </c>
      <c r="B348" s="66" t="s">
        <v>314</v>
      </c>
      <c r="C348" s="67" t="s">
        <v>335</v>
      </c>
      <c r="D348" s="66">
        <v>2025</v>
      </c>
      <c r="E348" s="68">
        <v>93</v>
      </c>
      <c r="BG348" s="57" t="s">
        <v>321</v>
      </c>
      <c r="BH348">
        <v>3</v>
      </c>
    </row>
    <row r="349" spans="1:60" ht="13.5" customHeight="1" x14ac:dyDescent="0.3">
      <c r="A349" s="66" t="s">
        <v>117</v>
      </c>
      <c r="B349" s="66" t="s">
        <v>314</v>
      </c>
      <c r="C349" s="67" t="s">
        <v>335</v>
      </c>
      <c r="D349" s="66">
        <v>2025</v>
      </c>
      <c r="E349" s="68">
        <v>93</v>
      </c>
      <c r="BG349" s="57" t="s">
        <v>322</v>
      </c>
      <c r="BH349">
        <v>3</v>
      </c>
    </row>
    <row r="350" spans="1:60" ht="13.5" customHeight="1" x14ac:dyDescent="0.3">
      <c r="A350" s="66" t="s">
        <v>117</v>
      </c>
      <c r="B350" s="66" t="s">
        <v>314</v>
      </c>
      <c r="C350" s="67" t="s">
        <v>335</v>
      </c>
      <c r="D350" s="66">
        <v>2025</v>
      </c>
      <c r="E350" s="68">
        <v>93</v>
      </c>
      <c r="BG350" s="57" t="s">
        <v>323</v>
      </c>
      <c r="BH350">
        <v>3</v>
      </c>
    </row>
    <row r="351" spans="1:60" ht="13.5" customHeight="1" x14ac:dyDescent="0.3">
      <c r="A351" s="66" t="s">
        <v>117</v>
      </c>
      <c r="B351" s="66" t="s">
        <v>314</v>
      </c>
      <c r="C351" s="67" t="s">
        <v>335</v>
      </c>
      <c r="D351" s="66">
        <v>2025</v>
      </c>
      <c r="E351" s="68">
        <v>93</v>
      </c>
      <c r="BG351" s="57" t="s">
        <v>324</v>
      </c>
      <c r="BH351">
        <v>3</v>
      </c>
    </row>
    <row r="352" spans="1:60" ht="13.5" customHeight="1" x14ac:dyDescent="0.3">
      <c r="A352" s="66" t="s">
        <v>117</v>
      </c>
      <c r="B352" s="66" t="s">
        <v>314</v>
      </c>
      <c r="C352" s="67" t="s">
        <v>335</v>
      </c>
      <c r="D352" s="66">
        <v>2025</v>
      </c>
      <c r="E352" s="68">
        <v>93</v>
      </c>
      <c r="BG352" s="57" t="s">
        <v>325</v>
      </c>
      <c r="BH352">
        <v>3</v>
      </c>
    </row>
    <row r="353" spans="1:60" ht="13.5" customHeight="1" x14ac:dyDescent="0.3">
      <c r="A353" s="66" t="s">
        <v>117</v>
      </c>
      <c r="B353" s="66" t="s">
        <v>314</v>
      </c>
      <c r="C353" s="67" t="s">
        <v>335</v>
      </c>
      <c r="D353" s="66">
        <v>2025</v>
      </c>
      <c r="E353" s="68">
        <v>93</v>
      </c>
      <c r="BG353" s="57" t="s">
        <v>326</v>
      </c>
      <c r="BH353">
        <v>3</v>
      </c>
    </row>
    <row r="354" spans="1:60" ht="13.5" customHeight="1" x14ac:dyDescent="0.3">
      <c r="A354" s="66" t="s">
        <v>117</v>
      </c>
      <c r="B354" s="66" t="s">
        <v>314</v>
      </c>
      <c r="C354" s="67" t="s">
        <v>335</v>
      </c>
      <c r="D354" s="66">
        <v>2025</v>
      </c>
      <c r="E354" s="68">
        <v>93</v>
      </c>
      <c r="BG354" s="57" t="s">
        <v>327</v>
      </c>
      <c r="BH354">
        <v>3</v>
      </c>
    </row>
    <row r="355" spans="1:60" ht="13.5" customHeight="1" x14ac:dyDescent="0.3">
      <c r="A355" s="66" t="s">
        <v>117</v>
      </c>
      <c r="B355" s="66" t="s">
        <v>314</v>
      </c>
      <c r="C355" s="67" t="s">
        <v>335</v>
      </c>
      <c r="D355" s="66">
        <v>2025</v>
      </c>
      <c r="E355" s="68">
        <v>93</v>
      </c>
      <c r="BG355" s="57" t="s">
        <v>328</v>
      </c>
      <c r="BH355">
        <v>3</v>
      </c>
    </row>
    <row r="356" spans="1:60" ht="13.5" customHeight="1" x14ac:dyDescent="0.3">
      <c r="A356" s="66" t="s">
        <v>117</v>
      </c>
      <c r="B356" s="66" t="s">
        <v>314</v>
      </c>
      <c r="C356" s="67" t="s">
        <v>335</v>
      </c>
      <c r="D356" s="66">
        <v>2025</v>
      </c>
      <c r="E356" s="68">
        <v>93</v>
      </c>
      <c r="BG356" s="57" t="s">
        <v>329</v>
      </c>
      <c r="BH356">
        <v>3</v>
      </c>
    </row>
    <row r="357" spans="1:60" ht="13.5" customHeight="1" x14ac:dyDescent="0.3">
      <c r="A357" s="66" t="s">
        <v>117</v>
      </c>
      <c r="B357" s="66" t="s">
        <v>314</v>
      </c>
      <c r="C357" s="67" t="s">
        <v>335</v>
      </c>
      <c r="D357" s="66">
        <v>2025</v>
      </c>
      <c r="E357" s="68">
        <v>93</v>
      </c>
      <c r="BG357" s="57" t="s">
        <v>330</v>
      </c>
      <c r="BH357">
        <v>3</v>
      </c>
    </row>
    <row r="358" spans="1:60" ht="13.5" customHeight="1" x14ac:dyDescent="0.3">
      <c r="A358" s="66" t="s">
        <v>117</v>
      </c>
      <c r="B358" s="66" t="s">
        <v>314</v>
      </c>
      <c r="C358" s="67" t="s">
        <v>335</v>
      </c>
      <c r="D358" s="66">
        <v>2025</v>
      </c>
      <c r="E358" s="68">
        <v>93</v>
      </c>
      <c r="BG358" s="57" t="s">
        <v>331</v>
      </c>
      <c r="BH358">
        <v>3</v>
      </c>
    </row>
    <row r="359" spans="1:60" ht="13.5" customHeight="1" x14ac:dyDescent="0.3">
      <c r="A359" s="66" t="s">
        <v>117</v>
      </c>
      <c r="B359" s="66" t="s">
        <v>314</v>
      </c>
      <c r="C359" s="67" t="s">
        <v>335</v>
      </c>
      <c r="D359" s="66">
        <v>2025</v>
      </c>
      <c r="E359" s="68">
        <v>93</v>
      </c>
      <c r="BG359" s="57" t="s">
        <v>332</v>
      </c>
      <c r="BH359">
        <v>3</v>
      </c>
    </row>
    <row r="360" spans="1:60" ht="13.5" customHeight="1" x14ac:dyDescent="0.3">
      <c r="A360" s="66" t="s">
        <v>117</v>
      </c>
      <c r="B360" s="66" t="s">
        <v>314</v>
      </c>
      <c r="C360" s="67" t="s">
        <v>335</v>
      </c>
      <c r="D360" s="66">
        <v>2025</v>
      </c>
      <c r="E360" s="68">
        <v>93</v>
      </c>
      <c r="BG360" s="57" t="s">
        <v>333</v>
      </c>
      <c r="BH360">
        <v>3</v>
      </c>
    </row>
    <row r="361" spans="1:60" s="64" customFormat="1" ht="13.5" customHeight="1" x14ac:dyDescent="0.3">
      <c r="A361" s="69" t="s">
        <v>117</v>
      </c>
      <c r="B361" s="69" t="s">
        <v>314</v>
      </c>
      <c r="C361" s="70" t="s">
        <v>335</v>
      </c>
      <c r="D361" s="69">
        <v>2025</v>
      </c>
      <c r="E361" s="71">
        <v>93</v>
      </c>
      <c r="BG361" s="65" t="s">
        <v>334</v>
      </c>
      <c r="BH361" s="64">
        <v>3</v>
      </c>
    </row>
    <row r="362" spans="1:60" s="20" customFormat="1" ht="13.5" customHeight="1" x14ac:dyDescent="0.3">
      <c r="A362" s="66" t="s">
        <v>117</v>
      </c>
      <c r="B362" s="211" t="s">
        <v>315</v>
      </c>
      <c r="C362" s="67" t="s">
        <v>337</v>
      </c>
      <c r="D362" s="66">
        <v>2023</v>
      </c>
      <c r="E362" s="68">
        <v>94</v>
      </c>
      <c r="BG362" s="60" t="s">
        <v>336</v>
      </c>
      <c r="BH362" s="20">
        <v>1</v>
      </c>
    </row>
    <row r="363" spans="1:60" ht="13.5" customHeight="1" x14ac:dyDescent="0.3">
      <c r="D363" s="3"/>
    </row>
    <row r="364" spans="1:60" ht="13.5" customHeight="1" x14ac:dyDescent="0.3">
      <c r="D364" s="3"/>
    </row>
    <row r="365" spans="1:60" ht="13.5" customHeight="1" x14ac:dyDescent="0.3">
      <c r="D365" s="3"/>
    </row>
    <row r="366" spans="1:60" ht="13.5" customHeight="1" x14ac:dyDescent="0.3">
      <c r="D366" s="3"/>
    </row>
    <row r="367" spans="1:60" ht="13.5" customHeight="1" x14ac:dyDescent="0.3">
      <c r="D367" s="3"/>
    </row>
    <row r="368" spans="1:60" ht="13.5" customHeight="1" x14ac:dyDescent="0.3">
      <c r="D368" s="3"/>
    </row>
    <row r="369" spans="4:4" ht="13.5" customHeight="1" x14ac:dyDescent="0.3">
      <c r="D369" s="3"/>
    </row>
    <row r="370" spans="4:4" ht="13.5" customHeight="1" x14ac:dyDescent="0.3">
      <c r="D370" s="3"/>
    </row>
    <row r="371" spans="4:4" ht="13.5" customHeight="1" x14ac:dyDescent="0.3">
      <c r="D371" s="3"/>
    </row>
    <row r="372" spans="4:4" ht="13.5" customHeight="1" x14ac:dyDescent="0.3">
      <c r="D372" s="3"/>
    </row>
    <row r="373" spans="4:4" ht="13.5" customHeight="1" x14ac:dyDescent="0.3">
      <c r="D373" s="3"/>
    </row>
    <row r="374" spans="4:4" ht="13.5" customHeight="1" x14ac:dyDescent="0.3">
      <c r="D374" s="3"/>
    </row>
    <row r="375" spans="4:4" ht="13.5" customHeight="1" x14ac:dyDescent="0.3">
      <c r="D375" s="3"/>
    </row>
    <row r="376" spans="4:4" ht="13.5" customHeight="1" x14ac:dyDescent="0.3">
      <c r="D376" s="3"/>
    </row>
    <row r="377" spans="4:4" ht="13.5" customHeight="1" x14ac:dyDescent="0.3">
      <c r="D377" s="3"/>
    </row>
    <row r="378" spans="4:4" ht="13.5" customHeight="1" x14ac:dyDescent="0.3">
      <c r="D378" s="3"/>
    </row>
    <row r="379" spans="4:4" ht="13.5" customHeight="1" x14ac:dyDescent="0.3">
      <c r="D379" s="3"/>
    </row>
    <row r="380" spans="4:4" ht="13.5" customHeight="1" x14ac:dyDescent="0.3">
      <c r="D380" s="3"/>
    </row>
    <row r="381" spans="4:4" ht="13.5" customHeight="1" x14ac:dyDescent="0.3">
      <c r="D381" s="3"/>
    </row>
    <row r="382" spans="4:4" ht="13.5" customHeight="1" x14ac:dyDescent="0.3">
      <c r="D382" s="3"/>
    </row>
    <row r="383" spans="4:4" ht="13.5" customHeight="1" x14ac:dyDescent="0.3">
      <c r="D383" s="3"/>
    </row>
    <row r="384" spans="4:4" ht="13.5" customHeight="1" x14ac:dyDescent="0.3">
      <c r="D384" s="3"/>
    </row>
    <row r="385" spans="4:4" ht="13.5" customHeight="1" x14ac:dyDescent="0.3">
      <c r="D385" s="3"/>
    </row>
    <row r="386" spans="4:4" ht="13.5" customHeight="1" x14ac:dyDescent="0.3">
      <c r="D386" s="3"/>
    </row>
    <row r="387" spans="4:4" ht="13.5" customHeight="1" x14ac:dyDescent="0.3">
      <c r="D387" s="3"/>
    </row>
    <row r="388" spans="4:4" ht="13.5" customHeight="1" x14ac:dyDescent="0.3">
      <c r="D388" s="3"/>
    </row>
    <row r="389" spans="4:4" ht="13.5" customHeight="1" x14ac:dyDescent="0.3">
      <c r="D389" s="3"/>
    </row>
    <row r="390" spans="4:4" ht="13.5" customHeight="1" x14ac:dyDescent="0.3">
      <c r="D390" s="3"/>
    </row>
    <row r="391" spans="4:4" ht="13.5" customHeight="1" x14ac:dyDescent="0.3">
      <c r="D391" s="3"/>
    </row>
    <row r="392" spans="4:4" ht="13.5" customHeight="1" x14ac:dyDescent="0.3">
      <c r="D392" s="3"/>
    </row>
    <row r="393" spans="4:4" ht="13.5" customHeight="1" x14ac:dyDescent="0.3">
      <c r="D393" s="3"/>
    </row>
    <row r="394" spans="4:4" ht="13.5" customHeight="1" x14ac:dyDescent="0.3">
      <c r="D394" s="3"/>
    </row>
    <row r="395" spans="4:4" ht="13.5" customHeight="1" x14ac:dyDescent="0.3">
      <c r="D395" s="3"/>
    </row>
    <row r="396" spans="4:4" ht="13.5" customHeight="1" x14ac:dyDescent="0.3">
      <c r="D396" s="3"/>
    </row>
    <row r="397" spans="4:4" ht="13.5" customHeight="1" x14ac:dyDescent="0.3">
      <c r="D397" s="3"/>
    </row>
    <row r="398" spans="4:4" ht="13.5" customHeight="1" x14ac:dyDescent="0.3">
      <c r="D398" s="3"/>
    </row>
    <row r="399" spans="4:4" ht="13.5" customHeight="1" x14ac:dyDescent="0.3">
      <c r="D399" s="3"/>
    </row>
    <row r="400" spans="4:4" ht="13.5" customHeight="1" x14ac:dyDescent="0.3">
      <c r="D400" s="3"/>
    </row>
    <row r="401" spans="4:4" ht="13.5" customHeight="1" x14ac:dyDescent="0.3">
      <c r="D401" s="3"/>
    </row>
    <row r="402" spans="4:4" ht="13.5" customHeight="1" x14ac:dyDescent="0.3">
      <c r="D402" s="3"/>
    </row>
    <row r="403" spans="4:4" ht="13.5" customHeight="1" x14ac:dyDescent="0.3">
      <c r="D403" s="3"/>
    </row>
    <row r="404" spans="4:4" ht="13.5" customHeight="1" x14ac:dyDescent="0.3">
      <c r="D404" s="3"/>
    </row>
    <row r="405" spans="4:4" ht="13.5" customHeight="1" x14ac:dyDescent="0.3">
      <c r="D405" s="3"/>
    </row>
    <row r="406" spans="4:4" ht="13.5" customHeight="1" x14ac:dyDescent="0.3">
      <c r="D406" s="3"/>
    </row>
    <row r="407" spans="4:4" ht="13.5" customHeight="1" x14ac:dyDescent="0.3">
      <c r="D407" s="3"/>
    </row>
    <row r="408" spans="4:4" ht="13.5" customHeight="1" x14ac:dyDescent="0.3">
      <c r="D408" s="3"/>
    </row>
    <row r="409" spans="4:4" ht="13.5" customHeight="1" x14ac:dyDescent="0.3">
      <c r="D409" s="3"/>
    </row>
    <row r="410" spans="4:4" ht="13.5" customHeight="1" x14ac:dyDescent="0.3">
      <c r="D410" s="3"/>
    </row>
    <row r="411" spans="4:4" ht="13.5" customHeight="1" x14ac:dyDescent="0.3">
      <c r="D411" s="3"/>
    </row>
    <row r="412" spans="4:4" ht="13.5" customHeight="1" x14ac:dyDescent="0.3">
      <c r="D412" s="3"/>
    </row>
    <row r="413" spans="4:4" ht="13.5" customHeight="1" x14ac:dyDescent="0.3">
      <c r="D413" s="3"/>
    </row>
    <row r="414" spans="4:4" ht="13.5" customHeight="1" x14ac:dyDescent="0.3">
      <c r="D414" s="3"/>
    </row>
    <row r="415" spans="4:4" ht="13.5" customHeight="1" x14ac:dyDescent="0.3">
      <c r="D415" s="3"/>
    </row>
    <row r="416" spans="4:4" ht="13.5" customHeight="1" x14ac:dyDescent="0.3">
      <c r="D416" s="3"/>
    </row>
    <row r="417" spans="4:4" ht="13.5" customHeight="1" x14ac:dyDescent="0.3">
      <c r="D417" s="3"/>
    </row>
    <row r="418" spans="4:4" ht="13.5" customHeight="1" x14ac:dyDescent="0.3">
      <c r="D418" s="3"/>
    </row>
    <row r="419" spans="4:4" ht="13.5" customHeight="1" x14ac:dyDescent="0.3">
      <c r="D419" s="3"/>
    </row>
    <row r="420" spans="4:4" ht="13.5" customHeight="1" x14ac:dyDescent="0.3">
      <c r="D420" s="3"/>
    </row>
    <row r="421" spans="4:4" ht="13.5" customHeight="1" x14ac:dyDescent="0.3">
      <c r="D421" s="3"/>
    </row>
    <row r="422" spans="4:4" ht="13.5" customHeight="1" x14ac:dyDescent="0.3">
      <c r="D422" s="3"/>
    </row>
    <row r="423" spans="4:4" ht="13.5" customHeight="1" x14ac:dyDescent="0.3">
      <c r="D423" s="3"/>
    </row>
    <row r="424" spans="4:4" ht="13.5" customHeight="1" x14ac:dyDescent="0.3">
      <c r="D424" s="3"/>
    </row>
    <row r="425" spans="4:4" ht="13.5" customHeight="1" x14ac:dyDescent="0.3">
      <c r="D425" s="3"/>
    </row>
    <row r="426" spans="4:4" ht="13.5" customHeight="1" x14ac:dyDescent="0.3">
      <c r="D426" s="3"/>
    </row>
    <row r="427" spans="4:4" ht="13.5" customHeight="1" x14ac:dyDescent="0.3">
      <c r="D427" s="3"/>
    </row>
    <row r="428" spans="4:4" ht="13.5" customHeight="1" x14ac:dyDescent="0.3">
      <c r="D428" s="3"/>
    </row>
    <row r="429" spans="4:4" ht="13.5" customHeight="1" x14ac:dyDescent="0.3">
      <c r="D429" s="3"/>
    </row>
    <row r="430" spans="4:4" ht="13.5" customHeight="1" x14ac:dyDescent="0.3">
      <c r="D430" s="3"/>
    </row>
    <row r="431" spans="4:4" ht="13.5" customHeight="1" x14ac:dyDescent="0.3">
      <c r="D431" s="3"/>
    </row>
    <row r="432" spans="4:4" ht="13.5" customHeight="1" x14ac:dyDescent="0.3">
      <c r="D432" s="3"/>
    </row>
    <row r="433" spans="4:4" ht="13.5" customHeight="1" x14ac:dyDescent="0.3">
      <c r="D433" s="3"/>
    </row>
    <row r="434" spans="4:4" ht="13.5" customHeight="1" x14ac:dyDescent="0.3">
      <c r="D434" s="3"/>
    </row>
    <row r="435" spans="4:4" ht="13.5" customHeight="1" x14ac:dyDescent="0.3">
      <c r="D435" s="3"/>
    </row>
    <row r="436" spans="4:4" ht="13.5" customHeight="1" x14ac:dyDescent="0.3">
      <c r="D436" s="3"/>
    </row>
    <row r="437" spans="4:4" ht="13.5" customHeight="1" x14ac:dyDescent="0.3">
      <c r="D437" s="3"/>
    </row>
    <row r="438" spans="4:4" ht="13.5" customHeight="1" x14ac:dyDescent="0.3">
      <c r="D438" s="3"/>
    </row>
    <row r="439" spans="4:4" ht="13.5" customHeight="1" x14ac:dyDescent="0.3">
      <c r="D439" s="3"/>
    </row>
    <row r="440" spans="4:4" ht="13.5" customHeight="1" x14ac:dyDescent="0.3">
      <c r="D440" s="3"/>
    </row>
    <row r="441" spans="4:4" ht="13.5" customHeight="1" x14ac:dyDescent="0.3">
      <c r="D441" s="3"/>
    </row>
    <row r="442" spans="4:4" ht="13.5" customHeight="1" x14ac:dyDescent="0.3">
      <c r="D442" s="3"/>
    </row>
    <row r="443" spans="4:4" ht="13.5" customHeight="1" x14ac:dyDescent="0.3">
      <c r="D443" s="3"/>
    </row>
    <row r="444" spans="4:4" ht="13.5" customHeight="1" x14ac:dyDescent="0.3">
      <c r="D444" s="3"/>
    </row>
    <row r="445" spans="4:4" ht="13.5" customHeight="1" x14ac:dyDescent="0.3">
      <c r="D445" s="3"/>
    </row>
    <row r="446" spans="4:4" ht="13.5" customHeight="1" x14ac:dyDescent="0.3">
      <c r="D446" s="3"/>
    </row>
    <row r="447" spans="4:4" ht="13.5" customHeight="1" x14ac:dyDescent="0.3">
      <c r="D447" s="3"/>
    </row>
    <row r="448" spans="4:4" ht="13.5" customHeight="1" x14ac:dyDescent="0.3">
      <c r="D448" s="3"/>
    </row>
    <row r="449" spans="4:4" ht="13.5" customHeight="1" x14ac:dyDescent="0.3">
      <c r="D449" s="3"/>
    </row>
    <row r="450" spans="4:4" ht="13.5" customHeight="1" x14ac:dyDescent="0.3">
      <c r="D450" s="3"/>
    </row>
    <row r="451" spans="4:4" ht="13.5" customHeight="1" x14ac:dyDescent="0.3">
      <c r="D451" s="3"/>
    </row>
    <row r="452" spans="4:4" ht="13.5" customHeight="1" x14ac:dyDescent="0.3">
      <c r="D452" s="3"/>
    </row>
    <row r="453" spans="4:4" ht="13.5" customHeight="1" x14ac:dyDescent="0.3">
      <c r="D453" s="3"/>
    </row>
    <row r="454" spans="4:4" ht="13.5" customHeight="1" x14ac:dyDescent="0.3">
      <c r="D454" s="3"/>
    </row>
    <row r="455" spans="4:4" ht="13.5" customHeight="1" x14ac:dyDescent="0.3">
      <c r="D455" s="3"/>
    </row>
    <row r="456" spans="4:4" ht="13.5" customHeight="1" x14ac:dyDescent="0.3">
      <c r="D456" s="3"/>
    </row>
    <row r="457" spans="4:4" ht="13.5" customHeight="1" x14ac:dyDescent="0.3">
      <c r="D457" s="3"/>
    </row>
    <row r="458" spans="4:4" ht="13.5" customHeight="1" x14ac:dyDescent="0.3">
      <c r="D458" s="3"/>
    </row>
    <row r="459" spans="4:4" ht="13.5" customHeight="1" x14ac:dyDescent="0.3">
      <c r="D459" s="3"/>
    </row>
    <row r="460" spans="4:4" ht="13.5" customHeight="1" x14ac:dyDescent="0.3">
      <c r="D460" s="3"/>
    </row>
    <row r="461" spans="4:4" ht="13.5" customHeight="1" x14ac:dyDescent="0.3">
      <c r="D461" s="3"/>
    </row>
    <row r="462" spans="4:4" ht="13.5" customHeight="1" x14ac:dyDescent="0.3">
      <c r="D462" s="3"/>
    </row>
    <row r="463" spans="4:4" ht="13.5" customHeight="1" x14ac:dyDescent="0.3">
      <c r="D463" s="3"/>
    </row>
    <row r="464" spans="4:4" ht="13.5" customHeight="1" x14ac:dyDescent="0.3">
      <c r="D464" s="3"/>
    </row>
    <row r="465" spans="4:4" ht="13.5" customHeight="1" x14ac:dyDescent="0.3">
      <c r="D465" s="3"/>
    </row>
    <row r="466" spans="4:4" ht="13.5" customHeight="1" x14ac:dyDescent="0.3">
      <c r="D466" s="3"/>
    </row>
    <row r="467" spans="4:4" ht="13.5" customHeight="1" x14ac:dyDescent="0.3">
      <c r="D467" s="3"/>
    </row>
    <row r="468" spans="4:4" ht="13.5" customHeight="1" x14ac:dyDescent="0.3">
      <c r="D468" s="3"/>
    </row>
    <row r="469" spans="4:4" ht="13.5" customHeight="1" x14ac:dyDescent="0.3">
      <c r="D469" s="3"/>
    </row>
    <row r="470" spans="4:4" ht="13.5" customHeight="1" x14ac:dyDescent="0.3">
      <c r="D470" s="3"/>
    </row>
    <row r="471" spans="4:4" ht="13.5" customHeight="1" x14ac:dyDescent="0.3">
      <c r="D471" s="3"/>
    </row>
    <row r="472" spans="4:4" ht="13.5" customHeight="1" x14ac:dyDescent="0.3">
      <c r="D472" s="3"/>
    </row>
    <row r="473" spans="4:4" ht="13.5" customHeight="1" x14ac:dyDescent="0.3">
      <c r="D473" s="3"/>
    </row>
    <row r="474" spans="4:4" ht="13.5" customHeight="1" x14ac:dyDescent="0.3">
      <c r="D474" s="3"/>
    </row>
    <row r="475" spans="4:4" ht="13.5" customHeight="1" x14ac:dyDescent="0.3">
      <c r="D475" s="3"/>
    </row>
    <row r="476" spans="4:4" ht="13.5" customHeight="1" x14ac:dyDescent="0.3">
      <c r="D476" s="3"/>
    </row>
    <row r="477" spans="4:4" ht="13.5" customHeight="1" x14ac:dyDescent="0.3">
      <c r="D477" s="3"/>
    </row>
    <row r="478" spans="4:4" ht="13.5" customHeight="1" x14ac:dyDescent="0.3">
      <c r="D478" s="3"/>
    </row>
    <row r="479" spans="4:4" ht="13.5" customHeight="1" x14ac:dyDescent="0.3">
      <c r="D479" s="3"/>
    </row>
    <row r="480" spans="4:4" ht="13.5" customHeight="1" x14ac:dyDescent="0.3">
      <c r="D480" s="3"/>
    </row>
    <row r="481" spans="4:4" ht="13.5" customHeight="1" x14ac:dyDescent="0.3">
      <c r="D481" s="3"/>
    </row>
    <row r="482" spans="4:4" ht="13.5" customHeight="1" x14ac:dyDescent="0.3">
      <c r="D482" s="3"/>
    </row>
    <row r="483" spans="4:4" ht="13.5" customHeight="1" x14ac:dyDescent="0.3">
      <c r="D483" s="3"/>
    </row>
    <row r="484" spans="4:4" ht="13.5" customHeight="1" x14ac:dyDescent="0.3">
      <c r="D484" s="3"/>
    </row>
    <row r="485" spans="4:4" ht="13.5" customHeight="1" x14ac:dyDescent="0.3">
      <c r="D485" s="3"/>
    </row>
    <row r="486" spans="4:4" ht="13.5" customHeight="1" x14ac:dyDescent="0.3">
      <c r="D486" s="3"/>
    </row>
    <row r="487" spans="4:4" ht="13.5" customHeight="1" x14ac:dyDescent="0.3">
      <c r="D487" s="3"/>
    </row>
    <row r="488" spans="4:4" ht="13.5" customHeight="1" x14ac:dyDescent="0.3">
      <c r="D488" s="3"/>
    </row>
    <row r="489" spans="4:4" ht="13.5" customHeight="1" x14ac:dyDescent="0.3">
      <c r="D489" s="3"/>
    </row>
    <row r="490" spans="4:4" ht="13.5" customHeight="1" x14ac:dyDescent="0.3">
      <c r="D490" s="3"/>
    </row>
    <row r="491" spans="4:4" ht="13.5" customHeight="1" x14ac:dyDescent="0.3">
      <c r="D491" s="3"/>
    </row>
    <row r="492" spans="4:4" ht="13.5" customHeight="1" x14ac:dyDescent="0.3">
      <c r="D492" s="3"/>
    </row>
    <row r="493" spans="4:4" ht="13.5" customHeight="1" x14ac:dyDescent="0.3">
      <c r="D493" s="3"/>
    </row>
    <row r="494" spans="4:4" ht="13.5" customHeight="1" x14ac:dyDescent="0.3">
      <c r="D494" s="3"/>
    </row>
    <row r="495" spans="4:4" ht="13.5" customHeight="1" x14ac:dyDescent="0.3">
      <c r="D495" s="3"/>
    </row>
    <row r="496" spans="4:4" ht="13.5" customHeight="1" x14ac:dyDescent="0.3">
      <c r="D496" s="3"/>
    </row>
    <row r="497" spans="4:4" ht="13.5" customHeight="1" x14ac:dyDescent="0.3">
      <c r="D497" s="3"/>
    </row>
    <row r="498" spans="4:4" ht="13.5" customHeight="1" x14ac:dyDescent="0.3">
      <c r="D498" s="3"/>
    </row>
    <row r="499" spans="4:4" ht="13.5" customHeight="1" x14ac:dyDescent="0.3">
      <c r="D499" s="3"/>
    </row>
    <row r="500" spans="4:4" ht="13.5" customHeight="1" x14ac:dyDescent="0.3">
      <c r="D500" s="3"/>
    </row>
    <row r="501" spans="4:4" ht="13.5" customHeight="1" x14ac:dyDescent="0.3">
      <c r="D501" s="3"/>
    </row>
    <row r="502" spans="4:4" ht="13.5" customHeight="1" x14ac:dyDescent="0.3">
      <c r="D502" s="3"/>
    </row>
    <row r="503" spans="4:4" ht="13.5" customHeight="1" x14ac:dyDescent="0.3">
      <c r="D503" s="3"/>
    </row>
    <row r="504" spans="4:4" ht="13.5" customHeight="1" x14ac:dyDescent="0.3">
      <c r="D504" s="3"/>
    </row>
    <row r="505" spans="4:4" ht="13.5" customHeight="1" x14ac:dyDescent="0.3">
      <c r="D505" s="3"/>
    </row>
    <row r="506" spans="4:4" ht="13.5" customHeight="1" x14ac:dyDescent="0.3">
      <c r="D506" s="3"/>
    </row>
    <row r="507" spans="4:4" ht="13.5" customHeight="1" x14ac:dyDescent="0.3">
      <c r="D507" s="3"/>
    </row>
    <row r="508" spans="4:4" ht="13.5" customHeight="1" x14ac:dyDescent="0.3">
      <c r="D508" s="3"/>
    </row>
    <row r="509" spans="4:4" ht="13.5" customHeight="1" x14ac:dyDescent="0.3">
      <c r="D509" s="3"/>
    </row>
    <row r="510" spans="4:4" ht="13.5" customHeight="1" x14ac:dyDescent="0.3">
      <c r="D510" s="3"/>
    </row>
    <row r="511" spans="4:4" ht="13.5" customHeight="1" x14ac:dyDescent="0.3">
      <c r="D511" s="3"/>
    </row>
    <row r="512" spans="4:4" ht="13.5" customHeight="1" x14ac:dyDescent="0.3">
      <c r="D512" s="3"/>
    </row>
    <row r="513" spans="4:4" ht="13.5" customHeight="1" x14ac:dyDescent="0.3">
      <c r="D513" s="3"/>
    </row>
    <row r="514" spans="4:4" ht="13.5" customHeight="1" x14ac:dyDescent="0.3">
      <c r="D514" s="3"/>
    </row>
    <row r="515" spans="4:4" ht="13.5" customHeight="1" x14ac:dyDescent="0.3">
      <c r="D515" s="3"/>
    </row>
    <row r="516" spans="4:4" ht="13.5" customHeight="1" x14ac:dyDescent="0.3">
      <c r="D516" s="3"/>
    </row>
    <row r="517" spans="4:4" ht="13.5" customHeight="1" x14ac:dyDescent="0.3">
      <c r="D517" s="3"/>
    </row>
    <row r="518" spans="4:4" ht="13.5" customHeight="1" x14ac:dyDescent="0.3">
      <c r="D518" s="3"/>
    </row>
    <row r="519" spans="4:4" ht="13.5" customHeight="1" x14ac:dyDescent="0.3">
      <c r="D519" s="3"/>
    </row>
    <row r="520" spans="4:4" ht="13.5" customHeight="1" x14ac:dyDescent="0.3">
      <c r="D520" s="3"/>
    </row>
    <row r="521" spans="4:4" ht="13.5" customHeight="1" x14ac:dyDescent="0.3">
      <c r="D521" s="3"/>
    </row>
    <row r="522" spans="4:4" ht="13.5" customHeight="1" x14ac:dyDescent="0.3">
      <c r="D522" s="3"/>
    </row>
    <row r="523" spans="4:4" ht="13.5" customHeight="1" x14ac:dyDescent="0.3">
      <c r="D523" s="3"/>
    </row>
    <row r="524" spans="4:4" ht="13.5" customHeight="1" x14ac:dyDescent="0.3">
      <c r="D524" s="3"/>
    </row>
    <row r="525" spans="4:4" ht="13.5" customHeight="1" x14ac:dyDescent="0.3">
      <c r="D525" s="3"/>
    </row>
    <row r="526" spans="4:4" ht="13.5" customHeight="1" x14ac:dyDescent="0.3">
      <c r="D526" s="3"/>
    </row>
    <row r="527" spans="4:4" ht="13.5" customHeight="1" x14ac:dyDescent="0.3">
      <c r="D527" s="3"/>
    </row>
    <row r="528" spans="4:4" ht="13.5" customHeight="1" x14ac:dyDescent="0.3">
      <c r="D528" s="3"/>
    </row>
    <row r="529" spans="4:4" ht="13.5" customHeight="1" x14ac:dyDescent="0.3">
      <c r="D529" s="3"/>
    </row>
    <row r="530" spans="4:4" ht="13.5" customHeight="1" x14ac:dyDescent="0.3">
      <c r="D530" s="3"/>
    </row>
    <row r="531" spans="4:4" ht="13.5" customHeight="1" x14ac:dyDescent="0.3">
      <c r="D531" s="3"/>
    </row>
    <row r="532" spans="4:4" ht="13.5" customHeight="1" x14ac:dyDescent="0.3">
      <c r="D532" s="3"/>
    </row>
    <row r="533" spans="4:4" ht="13.5" customHeight="1" x14ac:dyDescent="0.3">
      <c r="D533" s="3"/>
    </row>
    <row r="534" spans="4:4" ht="13.5" customHeight="1" x14ac:dyDescent="0.3">
      <c r="D534" s="3"/>
    </row>
    <row r="535" spans="4:4" ht="13.5" customHeight="1" x14ac:dyDescent="0.3">
      <c r="D535" s="3"/>
    </row>
    <row r="536" spans="4:4" ht="13.5" customHeight="1" x14ac:dyDescent="0.3">
      <c r="D536" s="3"/>
    </row>
    <row r="537" spans="4:4" ht="13.5" customHeight="1" x14ac:dyDescent="0.3">
      <c r="D537" s="3"/>
    </row>
    <row r="538" spans="4:4" ht="13.5" customHeight="1" x14ac:dyDescent="0.3">
      <c r="D538" s="3"/>
    </row>
    <row r="539" spans="4:4" ht="13.5" customHeight="1" x14ac:dyDescent="0.3">
      <c r="D539" s="3"/>
    </row>
    <row r="540" spans="4:4" ht="13.5" customHeight="1" x14ac:dyDescent="0.3">
      <c r="D540" s="3"/>
    </row>
    <row r="541" spans="4:4" ht="13.5" customHeight="1" x14ac:dyDescent="0.3">
      <c r="D541" s="3"/>
    </row>
    <row r="542" spans="4:4" ht="13.5" customHeight="1" x14ac:dyDescent="0.3">
      <c r="D542" s="3"/>
    </row>
    <row r="543" spans="4:4" ht="13.5" customHeight="1" x14ac:dyDescent="0.3">
      <c r="D543" s="3"/>
    </row>
    <row r="544" spans="4:4" ht="13.5" customHeight="1" x14ac:dyDescent="0.3">
      <c r="D544" s="3"/>
    </row>
    <row r="545" spans="4:4" ht="13.5" customHeight="1" x14ac:dyDescent="0.3">
      <c r="D545" s="3"/>
    </row>
    <row r="546" spans="4:4" ht="13.5" customHeight="1" x14ac:dyDescent="0.3">
      <c r="D546" s="3"/>
    </row>
    <row r="547" spans="4:4" ht="13.5" customHeight="1" x14ac:dyDescent="0.3">
      <c r="D547" s="3"/>
    </row>
    <row r="548" spans="4:4" ht="13.5" customHeight="1" x14ac:dyDescent="0.3">
      <c r="D548" s="3"/>
    </row>
    <row r="549" spans="4:4" ht="13.5" customHeight="1" x14ac:dyDescent="0.3">
      <c r="D549" s="3"/>
    </row>
    <row r="550" spans="4:4" ht="13.5" customHeight="1" x14ac:dyDescent="0.3">
      <c r="D550" s="3"/>
    </row>
    <row r="551" spans="4:4" ht="13.5" customHeight="1" x14ac:dyDescent="0.3">
      <c r="D551" s="3"/>
    </row>
    <row r="552" spans="4:4" ht="13.5" customHeight="1" x14ac:dyDescent="0.3">
      <c r="D552" s="3"/>
    </row>
    <row r="553" spans="4:4" ht="13.5" customHeight="1" x14ac:dyDescent="0.3">
      <c r="D553" s="3"/>
    </row>
    <row r="554" spans="4:4" ht="13.5" customHeight="1" x14ac:dyDescent="0.3">
      <c r="D554" s="3"/>
    </row>
    <row r="555" spans="4:4" ht="13.5" customHeight="1" x14ac:dyDescent="0.3">
      <c r="D555" s="3"/>
    </row>
    <row r="556" spans="4:4" ht="13.5" customHeight="1" x14ac:dyDescent="0.3">
      <c r="D556" s="3"/>
    </row>
    <row r="557" spans="4:4" ht="13.5" customHeight="1" x14ac:dyDescent="0.3">
      <c r="D557" s="3"/>
    </row>
    <row r="558" spans="4:4" ht="13.5" customHeight="1" x14ac:dyDescent="0.3">
      <c r="D558" s="3"/>
    </row>
    <row r="559" spans="4:4" ht="13.5" customHeight="1" x14ac:dyDescent="0.3">
      <c r="D559" s="3"/>
    </row>
    <row r="560" spans="4:4" ht="13.5" customHeight="1" x14ac:dyDescent="0.3">
      <c r="D560" s="3"/>
    </row>
    <row r="561" spans="4:4" ht="13.5" customHeight="1" x14ac:dyDescent="0.3">
      <c r="D561" s="3"/>
    </row>
    <row r="562" spans="4:4" ht="13.5" customHeight="1" x14ac:dyDescent="0.3">
      <c r="D562" s="3"/>
    </row>
    <row r="563" spans="4:4" ht="13.5" customHeight="1" x14ac:dyDescent="0.3">
      <c r="D563" s="3"/>
    </row>
    <row r="564" spans="4:4" ht="13.5" customHeight="1" x14ac:dyDescent="0.3">
      <c r="D564" s="3"/>
    </row>
    <row r="565" spans="4:4" ht="13.5" customHeight="1" x14ac:dyDescent="0.3">
      <c r="D565" s="3"/>
    </row>
    <row r="566" spans="4:4" ht="13.5" customHeight="1" x14ac:dyDescent="0.3">
      <c r="D566" s="3"/>
    </row>
    <row r="567" spans="4:4" ht="13.5" customHeight="1" x14ac:dyDescent="0.3">
      <c r="D567" s="3"/>
    </row>
    <row r="568" spans="4:4" ht="13.5" customHeight="1" x14ac:dyDescent="0.3">
      <c r="D568" s="3"/>
    </row>
    <row r="569" spans="4:4" ht="13.5" customHeight="1" x14ac:dyDescent="0.3">
      <c r="D569" s="3"/>
    </row>
    <row r="570" spans="4:4" ht="13.5" customHeight="1" x14ac:dyDescent="0.3">
      <c r="D570" s="3"/>
    </row>
    <row r="571" spans="4:4" ht="13.5" customHeight="1" x14ac:dyDescent="0.3">
      <c r="D571" s="3"/>
    </row>
    <row r="572" spans="4:4" ht="13.5" customHeight="1" x14ac:dyDescent="0.3">
      <c r="D572" s="3"/>
    </row>
    <row r="573" spans="4:4" ht="13.5" customHeight="1" x14ac:dyDescent="0.3">
      <c r="D573" s="3"/>
    </row>
    <row r="574" spans="4:4" ht="13.5" customHeight="1" x14ac:dyDescent="0.3">
      <c r="D574" s="3"/>
    </row>
    <row r="575" spans="4:4" ht="13.5" customHeight="1" x14ac:dyDescent="0.3">
      <c r="D575" s="3"/>
    </row>
    <row r="576" spans="4:4" ht="13.5" customHeight="1" x14ac:dyDescent="0.3">
      <c r="D576" s="3"/>
    </row>
    <row r="577" spans="4:4" ht="13.5" customHeight="1" x14ac:dyDescent="0.3">
      <c r="D577" s="3"/>
    </row>
    <row r="578" spans="4:4" ht="13.5" customHeight="1" x14ac:dyDescent="0.3">
      <c r="D578" s="3"/>
    </row>
    <row r="579" spans="4:4" ht="13.5" customHeight="1" x14ac:dyDescent="0.3">
      <c r="D579" s="3"/>
    </row>
    <row r="580" spans="4:4" ht="13.5" customHeight="1" x14ac:dyDescent="0.3">
      <c r="D580" s="3"/>
    </row>
    <row r="581" spans="4:4" ht="13.5" customHeight="1" x14ac:dyDescent="0.3">
      <c r="D581" s="3"/>
    </row>
    <row r="582" spans="4:4" ht="13.5" customHeight="1" x14ac:dyDescent="0.3">
      <c r="D582" s="3"/>
    </row>
    <row r="583" spans="4:4" ht="13.5" customHeight="1" x14ac:dyDescent="0.3">
      <c r="D583" s="3"/>
    </row>
    <row r="584" spans="4:4" ht="13.5" customHeight="1" x14ac:dyDescent="0.3">
      <c r="D584" s="3"/>
    </row>
    <row r="585" spans="4:4" ht="13.5" customHeight="1" x14ac:dyDescent="0.3">
      <c r="D585" s="3"/>
    </row>
    <row r="586" spans="4:4" ht="13.5" customHeight="1" x14ac:dyDescent="0.3">
      <c r="D586" s="3"/>
    </row>
    <row r="587" spans="4:4" ht="13.5" customHeight="1" x14ac:dyDescent="0.3">
      <c r="D587" s="3"/>
    </row>
    <row r="588" spans="4:4" ht="13.5" customHeight="1" x14ac:dyDescent="0.3">
      <c r="D588" s="3"/>
    </row>
    <row r="589" spans="4:4" ht="13.5" customHeight="1" x14ac:dyDescent="0.3">
      <c r="D589" s="3"/>
    </row>
    <row r="590" spans="4:4" ht="13.5" customHeight="1" x14ac:dyDescent="0.3">
      <c r="D590" s="3"/>
    </row>
    <row r="591" spans="4:4" ht="13.5" customHeight="1" x14ac:dyDescent="0.3">
      <c r="D591" s="3"/>
    </row>
    <row r="592" spans="4:4" ht="13.5" customHeight="1" x14ac:dyDescent="0.3">
      <c r="D592" s="3"/>
    </row>
    <row r="593" spans="4:4" ht="13.5" customHeight="1" x14ac:dyDescent="0.3">
      <c r="D593" s="3"/>
    </row>
    <row r="594" spans="4:4" ht="13.5" customHeight="1" x14ac:dyDescent="0.3">
      <c r="D594" s="3"/>
    </row>
    <row r="595" spans="4:4" ht="13.5" customHeight="1" x14ac:dyDescent="0.3">
      <c r="D595" s="3"/>
    </row>
    <row r="596" spans="4:4" ht="13.5" customHeight="1" x14ac:dyDescent="0.3">
      <c r="D596" s="3"/>
    </row>
    <row r="597" spans="4:4" ht="13.5" customHeight="1" x14ac:dyDescent="0.3">
      <c r="D597" s="3"/>
    </row>
    <row r="598" spans="4:4" ht="13.5" customHeight="1" x14ac:dyDescent="0.3">
      <c r="D598" s="3"/>
    </row>
    <row r="599" spans="4:4" ht="13.5" customHeight="1" x14ac:dyDescent="0.3">
      <c r="D599" s="3"/>
    </row>
    <row r="600" spans="4:4" ht="13.5" customHeight="1" x14ac:dyDescent="0.3">
      <c r="D600" s="3"/>
    </row>
    <row r="601" spans="4:4" ht="13.5" customHeight="1" x14ac:dyDescent="0.3">
      <c r="D601" s="3"/>
    </row>
    <row r="602" spans="4:4" ht="13.5" customHeight="1" x14ac:dyDescent="0.3">
      <c r="D602" s="3"/>
    </row>
    <row r="603" spans="4:4" ht="13.5" customHeight="1" x14ac:dyDescent="0.3">
      <c r="D603" s="3"/>
    </row>
    <row r="604" spans="4:4" ht="13.5" customHeight="1" x14ac:dyDescent="0.3">
      <c r="D604" s="3"/>
    </row>
    <row r="605" spans="4:4" ht="13.5" customHeight="1" x14ac:dyDescent="0.3">
      <c r="D605" s="3"/>
    </row>
    <row r="606" spans="4:4" ht="13.5" customHeight="1" x14ac:dyDescent="0.3">
      <c r="D606" s="3"/>
    </row>
    <row r="607" spans="4:4" ht="13.5" customHeight="1" x14ac:dyDescent="0.3">
      <c r="D607" s="3"/>
    </row>
    <row r="608" spans="4:4" ht="13.5" customHeight="1" x14ac:dyDescent="0.3">
      <c r="D608" s="3"/>
    </row>
    <row r="609" spans="4:4" ht="13.5" customHeight="1" x14ac:dyDescent="0.3">
      <c r="D609" s="3"/>
    </row>
    <row r="610" spans="4:4" ht="13.5" customHeight="1" x14ac:dyDescent="0.3">
      <c r="D610" s="3"/>
    </row>
    <row r="611" spans="4:4" ht="13.5" customHeight="1" x14ac:dyDescent="0.3">
      <c r="D611" s="3"/>
    </row>
    <row r="612" spans="4:4" ht="13.5" customHeight="1" x14ac:dyDescent="0.3">
      <c r="D612" s="3"/>
    </row>
    <row r="613" spans="4:4" ht="13.5" customHeight="1" x14ac:dyDescent="0.3">
      <c r="D613" s="3"/>
    </row>
    <row r="614" spans="4:4" ht="13.5" customHeight="1" x14ac:dyDescent="0.3">
      <c r="D614" s="3"/>
    </row>
    <row r="615" spans="4:4" ht="13.5" customHeight="1" x14ac:dyDescent="0.3">
      <c r="D615" s="3"/>
    </row>
    <row r="616" spans="4:4" ht="13.5" customHeight="1" x14ac:dyDescent="0.3">
      <c r="D616" s="3"/>
    </row>
    <row r="617" spans="4:4" ht="13.5" customHeight="1" x14ac:dyDescent="0.3">
      <c r="D617" s="3"/>
    </row>
    <row r="618" spans="4:4" ht="13.5" customHeight="1" x14ac:dyDescent="0.3">
      <c r="D618" s="3"/>
    </row>
    <row r="619" spans="4:4" ht="13.5" customHeight="1" x14ac:dyDescent="0.3">
      <c r="D619" s="3"/>
    </row>
    <row r="620" spans="4:4" ht="13.5" customHeight="1" x14ac:dyDescent="0.3">
      <c r="D620" s="3"/>
    </row>
    <row r="621" spans="4:4" ht="13.5" customHeight="1" x14ac:dyDescent="0.3">
      <c r="D621" s="3"/>
    </row>
    <row r="622" spans="4:4" ht="13.5" customHeight="1" x14ac:dyDescent="0.3">
      <c r="D622" s="3"/>
    </row>
    <row r="623" spans="4:4" ht="13.5" customHeight="1" x14ac:dyDescent="0.3">
      <c r="D623" s="3"/>
    </row>
    <row r="624" spans="4:4" ht="13.5" customHeight="1" x14ac:dyDescent="0.3">
      <c r="D624" s="3"/>
    </row>
    <row r="625" spans="4:4" ht="13.5" customHeight="1" x14ac:dyDescent="0.3">
      <c r="D625" s="3"/>
    </row>
    <row r="626" spans="4:4" ht="13.5" customHeight="1" x14ac:dyDescent="0.3">
      <c r="D626" s="3"/>
    </row>
    <row r="627" spans="4:4" ht="13.5" customHeight="1" x14ac:dyDescent="0.3">
      <c r="D627" s="3"/>
    </row>
    <row r="628" spans="4:4" ht="13.5" customHeight="1" x14ac:dyDescent="0.3">
      <c r="D628" s="3"/>
    </row>
    <row r="629" spans="4:4" ht="13.5" customHeight="1" x14ac:dyDescent="0.3">
      <c r="D629" s="3"/>
    </row>
    <row r="630" spans="4:4" ht="13.5" customHeight="1" x14ac:dyDescent="0.3">
      <c r="D630" s="3"/>
    </row>
    <row r="631" spans="4:4" ht="13.5" customHeight="1" x14ac:dyDescent="0.3">
      <c r="D631" s="3"/>
    </row>
    <row r="632" spans="4:4" ht="13.5" customHeight="1" x14ac:dyDescent="0.3">
      <c r="D632" s="3"/>
    </row>
    <row r="633" spans="4:4" ht="13.5" customHeight="1" x14ac:dyDescent="0.3">
      <c r="D633" s="3"/>
    </row>
    <row r="634" spans="4:4" ht="13.5" customHeight="1" x14ac:dyDescent="0.3">
      <c r="D634" s="3"/>
    </row>
    <row r="635" spans="4:4" ht="13.5" customHeight="1" x14ac:dyDescent="0.3">
      <c r="D635" s="3"/>
    </row>
    <row r="636" spans="4:4" ht="13.5" customHeight="1" x14ac:dyDescent="0.3">
      <c r="D636" s="3"/>
    </row>
    <row r="637" spans="4:4" ht="13.5" customHeight="1" x14ac:dyDescent="0.3">
      <c r="D637" s="3"/>
    </row>
    <row r="638" spans="4:4" ht="13.5" customHeight="1" x14ac:dyDescent="0.3">
      <c r="D638" s="3"/>
    </row>
    <row r="639" spans="4:4" ht="13.5" customHeight="1" x14ac:dyDescent="0.3">
      <c r="D639" s="3"/>
    </row>
    <row r="640" spans="4:4" ht="13.5" customHeight="1" x14ac:dyDescent="0.3">
      <c r="D640" s="3"/>
    </row>
    <row r="641" spans="4:4" ht="13.5" customHeight="1" x14ac:dyDescent="0.3">
      <c r="D641" s="3"/>
    </row>
    <row r="642" spans="4:4" ht="13.5" customHeight="1" x14ac:dyDescent="0.3">
      <c r="D642" s="3"/>
    </row>
    <row r="643" spans="4:4" ht="13.5" customHeight="1" x14ac:dyDescent="0.3">
      <c r="D643" s="3"/>
    </row>
    <row r="644" spans="4:4" ht="13.5" customHeight="1" x14ac:dyDescent="0.3">
      <c r="D644" s="3"/>
    </row>
    <row r="645" spans="4:4" ht="13.5" customHeight="1" x14ac:dyDescent="0.3">
      <c r="D645" s="3"/>
    </row>
    <row r="646" spans="4:4" ht="13.5" customHeight="1" x14ac:dyDescent="0.3">
      <c r="D646" s="3"/>
    </row>
    <row r="647" spans="4:4" ht="13.5" customHeight="1" x14ac:dyDescent="0.3">
      <c r="D647" s="3"/>
    </row>
    <row r="648" spans="4:4" ht="13.5" customHeight="1" x14ac:dyDescent="0.3">
      <c r="D648" s="3"/>
    </row>
    <row r="649" spans="4:4" ht="13.5" customHeight="1" x14ac:dyDescent="0.3">
      <c r="D649" s="3"/>
    </row>
    <row r="650" spans="4:4" ht="13.5" customHeight="1" x14ac:dyDescent="0.3">
      <c r="D650" s="3"/>
    </row>
    <row r="651" spans="4:4" ht="13.5" customHeight="1" x14ac:dyDescent="0.3">
      <c r="D651" s="3"/>
    </row>
    <row r="652" spans="4:4" ht="13.5" customHeight="1" x14ac:dyDescent="0.3">
      <c r="D652" s="3"/>
    </row>
    <row r="653" spans="4:4" ht="13.5" customHeight="1" x14ac:dyDescent="0.3">
      <c r="D653" s="3"/>
    </row>
    <row r="654" spans="4:4" ht="13.5" customHeight="1" x14ac:dyDescent="0.3">
      <c r="D654" s="3"/>
    </row>
    <row r="655" spans="4:4" ht="13.5" customHeight="1" x14ac:dyDescent="0.3">
      <c r="D655" s="3"/>
    </row>
    <row r="656" spans="4:4" ht="13.5" customHeight="1" x14ac:dyDescent="0.3">
      <c r="D656" s="3"/>
    </row>
    <row r="657" spans="4:4" ht="13.5" customHeight="1" x14ac:dyDescent="0.3">
      <c r="D657" s="3"/>
    </row>
    <row r="658" spans="4:4" ht="13.5" customHeight="1" x14ac:dyDescent="0.3">
      <c r="D658" s="3"/>
    </row>
    <row r="659" spans="4:4" ht="13.5" customHeight="1" x14ac:dyDescent="0.3">
      <c r="D659" s="3"/>
    </row>
    <row r="660" spans="4:4" ht="13.5" customHeight="1" x14ac:dyDescent="0.3">
      <c r="D660" s="3"/>
    </row>
    <row r="661" spans="4:4" ht="13.5" customHeight="1" x14ac:dyDescent="0.3">
      <c r="D661" s="3"/>
    </row>
    <row r="662" spans="4:4" ht="13.5" customHeight="1" x14ac:dyDescent="0.3">
      <c r="D662" s="3"/>
    </row>
    <row r="663" spans="4:4" ht="13.5" customHeight="1" x14ac:dyDescent="0.3">
      <c r="D663" s="3"/>
    </row>
    <row r="664" spans="4:4" ht="13.5" customHeight="1" x14ac:dyDescent="0.3">
      <c r="D664" s="3"/>
    </row>
    <row r="665" spans="4:4" ht="13.5" customHeight="1" x14ac:dyDescent="0.3">
      <c r="D665" s="3"/>
    </row>
    <row r="666" spans="4:4" ht="13.5" customHeight="1" x14ac:dyDescent="0.3">
      <c r="D666" s="3"/>
    </row>
    <row r="667" spans="4:4" ht="13.5" customHeight="1" x14ac:dyDescent="0.3">
      <c r="D667" s="3"/>
    </row>
    <row r="668" spans="4:4" ht="13.5" customHeight="1" x14ac:dyDescent="0.3">
      <c r="D668" s="3"/>
    </row>
    <row r="669" spans="4:4" ht="13.5" customHeight="1" x14ac:dyDescent="0.3">
      <c r="D669" s="3"/>
    </row>
    <row r="670" spans="4:4" ht="13.5" customHeight="1" x14ac:dyDescent="0.3">
      <c r="D670" s="3"/>
    </row>
    <row r="671" spans="4:4" ht="13.5" customHeight="1" x14ac:dyDescent="0.3">
      <c r="D671" s="3"/>
    </row>
    <row r="672" spans="4:4" ht="13.5" customHeight="1" x14ac:dyDescent="0.3">
      <c r="D672" s="3"/>
    </row>
    <row r="673" spans="4:4" ht="13.5" customHeight="1" x14ac:dyDescent="0.3">
      <c r="D673" s="3"/>
    </row>
    <row r="674" spans="4:4" ht="13.5" customHeight="1" x14ac:dyDescent="0.3">
      <c r="D674" s="3"/>
    </row>
    <row r="675" spans="4:4" ht="13.5" customHeight="1" x14ac:dyDescent="0.3">
      <c r="D675" s="3"/>
    </row>
    <row r="676" spans="4:4" ht="13.5" customHeight="1" x14ac:dyDescent="0.3">
      <c r="D676" s="3"/>
    </row>
    <row r="677" spans="4:4" ht="13.5" customHeight="1" x14ac:dyDescent="0.3">
      <c r="D677" s="3"/>
    </row>
    <row r="678" spans="4:4" ht="13.5" customHeight="1" x14ac:dyDescent="0.3">
      <c r="D678" s="3"/>
    </row>
    <row r="679" spans="4:4" ht="13.5" customHeight="1" x14ac:dyDescent="0.3">
      <c r="D679" s="3"/>
    </row>
    <row r="680" spans="4:4" ht="13.5" customHeight="1" x14ac:dyDescent="0.3">
      <c r="D680" s="3"/>
    </row>
    <row r="681" spans="4:4" ht="13.5" customHeight="1" x14ac:dyDescent="0.3">
      <c r="D681" s="3"/>
    </row>
    <row r="682" spans="4:4" ht="13.5" customHeight="1" x14ac:dyDescent="0.3">
      <c r="D682" s="3"/>
    </row>
    <row r="683" spans="4:4" ht="13.5" customHeight="1" x14ac:dyDescent="0.3">
      <c r="D683" s="3"/>
    </row>
    <row r="684" spans="4:4" ht="13.5" customHeight="1" x14ac:dyDescent="0.3">
      <c r="D684" s="3"/>
    </row>
    <row r="685" spans="4:4" ht="13.5" customHeight="1" x14ac:dyDescent="0.3">
      <c r="D685" s="3"/>
    </row>
    <row r="686" spans="4:4" ht="13.5" customHeight="1" x14ac:dyDescent="0.3">
      <c r="D686" s="3"/>
    </row>
    <row r="687" spans="4:4" ht="13.5" customHeight="1" x14ac:dyDescent="0.3">
      <c r="D687" s="3"/>
    </row>
    <row r="688" spans="4:4" ht="13.5" customHeight="1" x14ac:dyDescent="0.3">
      <c r="D688" s="3"/>
    </row>
    <row r="689" spans="4:4" ht="13.5" customHeight="1" x14ac:dyDescent="0.3">
      <c r="D689" s="3"/>
    </row>
    <row r="690" spans="4:4" ht="13.5" customHeight="1" x14ac:dyDescent="0.3">
      <c r="D690" s="3"/>
    </row>
    <row r="691" spans="4:4" ht="13.5" customHeight="1" x14ac:dyDescent="0.3">
      <c r="D691" s="3"/>
    </row>
    <row r="692" spans="4:4" ht="13.5" customHeight="1" x14ac:dyDescent="0.3">
      <c r="D692" s="3"/>
    </row>
    <row r="693" spans="4:4" ht="13.5" customHeight="1" x14ac:dyDescent="0.3">
      <c r="D693" s="3"/>
    </row>
    <row r="694" spans="4:4" ht="13.5" customHeight="1" x14ac:dyDescent="0.3">
      <c r="D694" s="3"/>
    </row>
    <row r="695" spans="4:4" ht="13.5" customHeight="1" x14ac:dyDescent="0.3">
      <c r="D695" s="3"/>
    </row>
    <row r="696" spans="4:4" ht="13.5" customHeight="1" x14ac:dyDescent="0.3">
      <c r="D696" s="3"/>
    </row>
    <row r="697" spans="4:4" ht="13.5" customHeight="1" x14ac:dyDescent="0.3">
      <c r="D697" s="3"/>
    </row>
    <row r="698" spans="4:4" ht="13.5" customHeight="1" x14ac:dyDescent="0.3">
      <c r="D698" s="3"/>
    </row>
    <row r="699" spans="4:4" ht="13.5" customHeight="1" x14ac:dyDescent="0.3">
      <c r="D699" s="3"/>
    </row>
    <row r="700" spans="4:4" ht="13.5" customHeight="1" x14ac:dyDescent="0.3">
      <c r="D700" s="3"/>
    </row>
    <row r="701" spans="4:4" ht="13.5" customHeight="1" x14ac:dyDescent="0.3">
      <c r="D701" s="3"/>
    </row>
    <row r="702" spans="4:4" ht="13.5" customHeight="1" x14ac:dyDescent="0.3">
      <c r="D702" s="3"/>
    </row>
    <row r="703" spans="4:4" ht="13.5" customHeight="1" x14ac:dyDescent="0.3">
      <c r="D703" s="3"/>
    </row>
    <row r="704" spans="4:4" ht="13.5" customHeight="1" x14ac:dyDescent="0.3">
      <c r="D704" s="3"/>
    </row>
    <row r="705" spans="4:4" ht="13.5" customHeight="1" x14ac:dyDescent="0.3">
      <c r="D705" s="3"/>
    </row>
    <row r="706" spans="4:4" ht="13.5" customHeight="1" x14ac:dyDescent="0.3">
      <c r="D706" s="3"/>
    </row>
    <row r="707" spans="4:4" ht="13.5" customHeight="1" x14ac:dyDescent="0.3">
      <c r="D707" s="3"/>
    </row>
    <row r="708" spans="4:4" ht="13.5" customHeight="1" x14ac:dyDescent="0.3">
      <c r="D708" s="3"/>
    </row>
    <row r="709" spans="4:4" ht="13.5" customHeight="1" x14ac:dyDescent="0.3">
      <c r="D709" s="3"/>
    </row>
    <row r="710" spans="4:4" ht="13.5" customHeight="1" x14ac:dyDescent="0.3">
      <c r="D710" s="3"/>
    </row>
    <row r="711" spans="4:4" ht="13.5" customHeight="1" x14ac:dyDescent="0.3">
      <c r="D711" s="3"/>
    </row>
    <row r="712" spans="4:4" ht="13.5" customHeight="1" x14ac:dyDescent="0.3">
      <c r="D712" s="3"/>
    </row>
    <row r="713" spans="4:4" ht="13.5" customHeight="1" x14ac:dyDescent="0.3">
      <c r="D713" s="3"/>
    </row>
    <row r="714" spans="4:4" ht="13.5" customHeight="1" x14ac:dyDescent="0.3">
      <c r="D714" s="3"/>
    </row>
    <row r="715" spans="4:4" ht="13.5" customHeight="1" x14ac:dyDescent="0.3">
      <c r="D715" s="3"/>
    </row>
    <row r="716" spans="4:4" ht="13.5" customHeight="1" x14ac:dyDescent="0.3">
      <c r="D716" s="3"/>
    </row>
    <row r="717" spans="4:4" ht="13.5" customHeight="1" x14ac:dyDescent="0.3">
      <c r="D717" s="3"/>
    </row>
    <row r="718" spans="4:4" ht="13.5" customHeight="1" x14ac:dyDescent="0.3">
      <c r="D718" s="3"/>
    </row>
    <row r="719" spans="4:4" ht="13.5" customHeight="1" x14ac:dyDescent="0.3">
      <c r="D719" s="3"/>
    </row>
    <row r="720" spans="4:4" ht="13.5" customHeight="1" x14ac:dyDescent="0.3">
      <c r="D720" s="3"/>
    </row>
    <row r="721" spans="4:4" ht="13.5" customHeight="1" x14ac:dyDescent="0.3">
      <c r="D721" s="3"/>
    </row>
    <row r="722" spans="4:4" ht="13.5" customHeight="1" x14ac:dyDescent="0.3">
      <c r="D722" s="3"/>
    </row>
    <row r="723" spans="4:4" ht="13.5" customHeight="1" x14ac:dyDescent="0.3">
      <c r="D723" s="3"/>
    </row>
    <row r="724" spans="4:4" ht="13.5" customHeight="1" x14ac:dyDescent="0.3">
      <c r="D724" s="3"/>
    </row>
    <row r="725" spans="4:4" ht="13.5" customHeight="1" x14ac:dyDescent="0.3">
      <c r="D725" s="3"/>
    </row>
    <row r="726" spans="4:4" ht="13.5" customHeight="1" x14ac:dyDescent="0.3">
      <c r="D726" s="3"/>
    </row>
    <row r="727" spans="4:4" ht="13.5" customHeight="1" x14ac:dyDescent="0.3">
      <c r="D727" s="3"/>
    </row>
    <row r="728" spans="4:4" ht="13.5" customHeight="1" x14ac:dyDescent="0.3">
      <c r="D728" s="3"/>
    </row>
    <row r="729" spans="4:4" ht="13.5" customHeight="1" x14ac:dyDescent="0.3">
      <c r="D729" s="3"/>
    </row>
    <row r="730" spans="4:4" ht="13.5" customHeight="1" x14ac:dyDescent="0.3">
      <c r="D730" s="3"/>
    </row>
    <row r="731" spans="4:4" ht="13.5" customHeight="1" x14ac:dyDescent="0.3">
      <c r="D731" s="3"/>
    </row>
    <row r="732" spans="4:4" ht="13.5" customHeight="1" x14ac:dyDescent="0.3">
      <c r="D732" s="3"/>
    </row>
    <row r="733" spans="4:4" ht="13.5" customHeight="1" x14ac:dyDescent="0.3">
      <c r="D733" s="3"/>
    </row>
    <row r="734" spans="4:4" ht="13.5" customHeight="1" x14ac:dyDescent="0.3">
      <c r="D734" s="3"/>
    </row>
    <row r="735" spans="4:4" ht="13.5" customHeight="1" x14ac:dyDescent="0.3">
      <c r="D735" s="3"/>
    </row>
    <row r="736" spans="4:4" ht="13.5" customHeight="1" x14ac:dyDescent="0.3">
      <c r="D736" s="3"/>
    </row>
    <row r="737" spans="4:4" ht="13.5" customHeight="1" x14ac:dyDescent="0.3">
      <c r="D737" s="3"/>
    </row>
    <row r="738" spans="4:4" ht="13.5" customHeight="1" x14ac:dyDescent="0.3">
      <c r="D738" s="3"/>
    </row>
    <row r="739" spans="4:4" ht="13.5" customHeight="1" x14ac:dyDescent="0.3">
      <c r="D739" s="3"/>
    </row>
    <row r="740" spans="4:4" ht="13.5" customHeight="1" x14ac:dyDescent="0.3">
      <c r="D740" s="3"/>
    </row>
    <row r="741" spans="4:4" ht="13.5" customHeight="1" x14ac:dyDescent="0.3">
      <c r="D741" s="3"/>
    </row>
    <row r="742" spans="4:4" ht="13.5" customHeight="1" x14ac:dyDescent="0.3">
      <c r="D742" s="3"/>
    </row>
    <row r="743" spans="4:4" ht="13.5" customHeight="1" x14ac:dyDescent="0.3">
      <c r="D743" s="3"/>
    </row>
    <row r="744" spans="4:4" ht="13.5" customHeight="1" x14ac:dyDescent="0.3">
      <c r="D744" s="3"/>
    </row>
    <row r="745" spans="4:4" ht="13.5" customHeight="1" x14ac:dyDescent="0.3">
      <c r="D745" s="3"/>
    </row>
    <row r="746" spans="4:4" ht="13.5" customHeight="1" x14ac:dyDescent="0.3">
      <c r="D746" s="3"/>
    </row>
    <row r="747" spans="4:4" ht="13.5" customHeight="1" x14ac:dyDescent="0.3">
      <c r="D747" s="3"/>
    </row>
    <row r="748" spans="4:4" ht="13.5" customHeight="1" x14ac:dyDescent="0.3">
      <c r="D748" s="3"/>
    </row>
    <row r="749" spans="4:4" ht="13.5" customHeight="1" x14ac:dyDescent="0.3">
      <c r="D749" s="3"/>
    </row>
    <row r="750" spans="4:4" ht="13.5" customHeight="1" x14ac:dyDescent="0.3">
      <c r="D750" s="3"/>
    </row>
    <row r="751" spans="4:4" ht="13.5" customHeight="1" x14ac:dyDescent="0.3">
      <c r="D751" s="3"/>
    </row>
    <row r="752" spans="4:4" ht="13.5" customHeight="1" x14ac:dyDescent="0.3">
      <c r="D752" s="3"/>
    </row>
    <row r="753" spans="4:4" ht="13.5" customHeight="1" x14ac:dyDescent="0.3">
      <c r="D753" s="3"/>
    </row>
    <row r="754" spans="4:4" ht="13.5" customHeight="1" x14ac:dyDescent="0.3">
      <c r="D754" s="3"/>
    </row>
    <row r="755" spans="4:4" ht="13.5" customHeight="1" x14ac:dyDescent="0.3">
      <c r="D755" s="3"/>
    </row>
    <row r="756" spans="4:4" ht="13.5" customHeight="1" x14ac:dyDescent="0.3">
      <c r="D756" s="3"/>
    </row>
    <row r="757" spans="4:4" ht="13.5" customHeight="1" x14ac:dyDescent="0.3">
      <c r="D757" s="3"/>
    </row>
    <row r="758" spans="4:4" ht="13.5" customHeight="1" x14ac:dyDescent="0.3">
      <c r="D758" s="3"/>
    </row>
    <row r="759" spans="4:4" ht="13.5" customHeight="1" x14ac:dyDescent="0.3">
      <c r="D759" s="3"/>
    </row>
    <row r="760" spans="4:4" ht="13.5" customHeight="1" x14ac:dyDescent="0.3">
      <c r="D760" s="3"/>
    </row>
    <row r="761" spans="4:4" ht="13.5" customHeight="1" x14ac:dyDescent="0.3">
      <c r="D761" s="3"/>
    </row>
    <row r="762" spans="4:4" ht="13.5" customHeight="1" x14ac:dyDescent="0.3">
      <c r="D762" s="3"/>
    </row>
    <row r="763" spans="4:4" ht="13.5" customHeight="1" x14ac:dyDescent="0.3">
      <c r="D763" s="3"/>
    </row>
    <row r="764" spans="4:4" ht="13.5" customHeight="1" x14ac:dyDescent="0.3">
      <c r="D764" s="3"/>
    </row>
    <row r="765" spans="4:4" ht="13.5" customHeight="1" x14ac:dyDescent="0.3">
      <c r="D765" s="3"/>
    </row>
    <row r="766" spans="4:4" ht="13.5" customHeight="1" x14ac:dyDescent="0.3">
      <c r="D766" s="3"/>
    </row>
    <row r="767" spans="4:4" ht="13.5" customHeight="1" x14ac:dyDescent="0.3">
      <c r="D767" s="3"/>
    </row>
    <row r="768" spans="4:4" ht="13.5" customHeight="1" x14ac:dyDescent="0.3">
      <c r="D768" s="3"/>
    </row>
    <row r="769" spans="4:4" ht="13.5" customHeight="1" x14ac:dyDescent="0.3">
      <c r="D769" s="3"/>
    </row>
    <row r="770" spans="4:4" ht="13.5" customHeight="1" x14ac:dyDescent="0.3">
      <c r="D770" s="3"/>
    </row>
    <row r="771" spans="4:4" ht="13.5" customHeight="1" x14ac:dyDescent="0.3">
      <c r="D771" s="3"/>
    </row>
    <row r="772" spans="4:4" ht="13.5" customHeight="1" x14ac:dyDescent="0.3">
      <c r="D772" s="3"/>
    </row>
    <row r="773" spans="4:4" ht="13.5" customHeight="1" x14ac:dyDescent="0.3">
      <c r="D773" s="3"/>
    </row>
    <row r="774" spans="4:4" ht="13.5" customHeight="1" x14ac:dyDescent="0.3">
      <c r="D774" s="3"/>
    </row>
    <row r="775" spans="4:4" ht="13.5" customHeight="1" x14ac:dyDescent="0.3">
      <c r="D775" s="3"/>
    </row>
    <row r="776" spans="4:4" ht="13.5" customHeight="1" x14ac:dyDescent="0.3">
      <c r="D776" s="3"/>
    </row>
    <row r="777" spans="4:4" ht="13.5" customHeight="1" x14ac:dyDescent="0.3">
      <c r="D777" s="3"/>
    </row>
    <row r="778" spans="4:4" ht="13.5" customHeight="1" x14ac:dyDescent="0.3">
      <c r="D778" s="3"/>
    </row>
    <row r="779" spans="4:4" ht="13.5" customHeight="1" x14ac:dyDescent="0.3">
      <c r="D779" s="3"/>
    </row>
    <row r="780" spans="4:4" ht="13.5" customHeight="1" x14ac:dyDescent="0.3">
      <c r="D780" s="3"/>
    </row>
    <row r="781" spans="4:4" ht="13.5" customHeight="1" x14ac:dyDescent="0.3">
      <c r="D781" s="3"/>
    </row>
    <row r="782" spans="4:4" ht="13.5" customHeight="1" x14ac:dyDescent="0.3">
      <c r="D782" s="3"/>
    </row>
    <row r="783" spans="4:4" ht="13.5" customHeight="1" x14ac:dyDescent="0.3">
      <c r="D783" s="3"/>
    </row>
    <row r="784" spans="4:4" ht="13.5" customHeight="1" x14ac:dyDescent="0.3">
      <c r="D784" s="3"/>
    </row>
    <row r="785" spans="4:4" ht="13.5" customHeight="1" x14ac:dyDescent="0.3">
      <c r="D785" s="3"/>
    </row>
    <row r="786" spans="4:4" ht="13.5" customHeight="1" x14ac:dyDescent="0.3">
      <c r="D786" s="3"/>
    </row>
    <row r="787" spans="4:4" ht="13.5" customHeight="1" x14ac:dyDescent="0.3">
      <c r="D787" s="3"/>
    </row>
    <row r="788" spans="4:4" ht="13.5" customHeight="1" x14ac:dyDescent="0.3">
      <c r="D788" s="3"/>
    </row>
    <row r="789" spans="4:4" ht="13.5" customHeight="1" x14ac:dyDescent="0.3">
      <c r="D789" s="3"/>
    </row>
    <row r="790" spans="4:4" ht="13.5" customHeight="1" x14ac:dyDescent="0.3">
      <c r="D790" s="3"/>
    </row>
    <row r="791" spans="4:4" ht="13.5" customHeight="1" x14ac:dyDescent="0.3">
      <c r="D791" s="3"/>
    </row>
    <row r="792" spans="4:4" ht="13.5" customHeight="1" x14ac:dyDescent="0.3">
      <c r="D792" s="3"/>
    </row>
    <row r="793" spans="4:4" ht="13.5" customHeight="1" x14ac:dyDescent="0.3">
      <c r="D793" s="3"/>
    </row>
    <row r="794" spans="4:4" ht="13.5" customHeight="1" x14ac:dyDescent="0.3">
      <c r="D794" s="3"/>
    </row>
    <row r="795" spans="4:4" ht="13.5" customHeight="1" x14ac:dyDescent="0.3">
      <c r="D795" s="3"/>
    </row>
    <row r="796" spans="4:4" ht="13.5" customHeight="1" x14ac:dyDescent="0.3">
      <c r="D796" s="3"/>
    </row>
    <row r="797" spans="4:4" ht="13.5" customHeight="1" x14ac:dyDescent="0.3">
      <c r="D797" s="3"/>
    </row>
    <row r="798" spans="4:4" ht="13.5" customHeight="1" x14ac:dyDescent="0.3">
      <c r="D798" s="3"/>
    </row>
    <row r="799" spans="4:4" ht="13.5" customHeight="1" x14ac:dyDescent="0.3">
      <c r="D799" s="3"/>
    </row>
    <row r="800" spans="4:4" ht="13.5" customHeight="1" x14ac:dyDescent="0.3">
      <c r="D800" s="3"/>
    </row>
    <row r="801" spans="4:4" ht="13.5" customHeight="1" x14ac:dyDescent="0.3">
      <c r="D801" s="3"/>
    </row>
    <row r="802" spans="4:4" ht="13.5" customHeight="1" x14ac:dyDescent="0.3">
      <c r="D802" s="3"/>
    </row>
    <row r="803" spans="4:4" ht="13.5" customHeight="1" x14ac:dyDescent="0.3">
      <c r="D803" s="3"/>
    </row>
    <row r="804" spans="4:4" ht="13.5" customHeight="1" x14ac:dyDescent="0.3">
      <c r="D804" s="3"/>
    </row>
    <row r="805" spans="4:4" ht="13.5" customHeight="1" x14ac:dyDescent="0.3">
      <c r="D805" s="3"/>
    </row>
    <row r="806" spans="4:4" ht="13.5" customHeight="1" x14ac:dyDescent="0.3">
      <c r="D806" s="3"/>
    </row>
    <row r="807" spans="4:4" ht="13.5" customHeight="1" x14ac:dyDescent="0.3">
      <c r="D807" s="3"/>
    </row>
    <row r="808" spans="4:4" ht="13.5" customHeight="1" x14ac:dyDescent="0.3">
      <c r="D808" s="3"/>
    </row>
    <row r="809" spans="4:4" ht="13.5" customHeight="1" x14ac:dyDescent="0.3">
      <c r="D809" s="3"/>
    </row>
    <row r="810" spans="4:4" ht="13.5" customHeight="1" x14ac:dyDescent="0.3">
      <c r="D810" s="3"/>
    </row>
    <row r="811" spans="4:4" ht="13.5" customHeight="1" x14ac:dyDescent="0.3">
      <c r="D811" s="3"/>
    </row>
    <row r="812" spans="4:4" ht="13.5" customHeight="1" x14ac:dyDescent="0.3">
      <c r="D812" s="3"/>
    </row>
    <row r="813" spans="4:4" ht="13.5" customHeight="1" x14ac:dyDescent="0.3">
      <c r="D813" s="3"/>
    </row>
    <row r="814" spans="4:4" ht="13.5" customHeight="1" x14ac:dyDescent="0.3">
      <c r="D814" s="3"/>
    </row>
    <row r="815" spans="4:4" ht="13.5" customHeight="1" x14ac:dyDescent="0.3">
      <c r="D815" s="3"/>
    </row>
    <row r="816" spans="4:4" ht="13.5" customHeight="1" x14ac:dyDescent="0.3">
      <c r="D816" s="3"/>
    </row>
    <row r="817" spans="4:4" ht="13.5" customHeight="1" x14ac:dyDescent="0.3">
      <c r="D817" s="3"/>
    </row>
    <row r="818" spans="4:4" ht="13.5" customHeight="1" x14ac:dyDescent="0.3">
      <c r="D818" s="3"/>
    </row>
    <row r="819" spans="4:4" ht="13.5" customHeight="1" x14ac:dyDescent="0.3">
      <c r="D819" s="3"/>
    </row>
    <row r="820" spans="4:4" ht="13.5" customHeight="1" x14ac:dyDescent="0.3">
      <c r="D820" s="3"/>
    </row>
    <row r="821" spans="4:4" ht="13.5" customHeight="1" x14ac:dyDescent="0.3">
      <c r="D821" s="3"/>
    </row>
    <row r="822" spans="4:4" ht="13.5" customHeight="1" x14ac:dyDescent="0.3">
      <c r="D822" s="3"/>
    </row>
    <row r="823" spans="4:4" ht="13.5" customHeight="1" x14ac:dyDescent="0.3">
      <c r="D823" s="3"/>
    </row>
    <row r="824" spans="4:4" ht="13.5" customHeight="1" x14ac:dyDescent="0.3">
      <c r="D824" s="3"/>
    </row>
    <row r="825" spans="4:4" ht="13.5" customHeight="1" x14ac:dyDescent="0.3">
      <c r="D825" s="3"/>
    </row>
    <row r="826" spans="4:4" ht="13.5" customHeight="1" x14ac:dyDescent="0.3">
      <c r="D826" s="3"/>
    </row>
    <row r="827" spans="4:4" ht="13.5" customHeight="1" x14ac:dyDescent="0.3">
      <c r="D827" s="3"/>
    </row>
    <row r="828" spans="4:4" ht="13.5" customHeight="1" x14ac:dyDescent="0.3">
      <c r="D828" s="3"/>
    </row>
    <row r="829" spans="4:4" ht="13.5" customHeight="1" x14ac:dyDescent="0.3">
      <c r="D829" s="3"/>
    </row>
    <row r="830" spans="4:4" ht="13.5" customHeight="1" x14ac:dyDescent="0.3">
      <c r="D830" s="3"/>
    </row>
    <row r="831" spans="4:4" ht="13.5" customHeight="1" x14ac:dyDescent="0.3">
      <c r="D831" s="3"/>
    </row>
    <row r="832" spans="4:4" ht="13.5" customHeight="1" x14ac:dyDescent="0.3">
      <c r="D832" s="3"/>
    </row>
    <row r="833" spans="4:4" ht="13.5" customHeight="1" x14ac:dyDescent="0.3">
      <c r="D833" s="3"/>
    </row>
    <row r="834" spans="4:4" ht="13.5" customHeight="1" x14ac:dyDescent="0.3">
      <c r="D834" s="3"/>
    </row>
    <row r="835" spans="4:4" ht="13.5" customHeight="1" x14ac:dyDescent="0.3">
      <c r="D835" s="3"/>
    </row>
    <row r="836" spans="4:4" ht="13.5" customHeight="1" x14ac:dyDescent="0.3">
      <c r="D836" s="3"/>
    </row>
    <row r="837" spans="4:4" ht="13.5" customHeight="1" x14ac:dyDescent="0.3">
      <c r="D837" s="3"/>
    </row>
    <row r="838" spans="4:4" ht="13.5" customHeight="1" x14ac:dyDescent="0.3">
      <c r="D838" s="3"/>
    </row>
    <row r="839" spans="4:4" ht="13.5" customHeight="1" x14ac:dyDescent="0.3">
      <c r="D839" s="3"/>
    </row>
    <row r="840" spans="4:4" ht="13.5" customHeight="1" x14ac:dyDescent="0.3">
      <c r="D840" s="3"/>
    </row>
    <row r="841" spans="4:4" ht="13.5" customHeight="1" x14ac:dyDescent="0.3">
      <c r="D841" s="3"/>
    </row>
    <row r="842" spans="4:4" ht="13.5" customHeight="1" x14ac:dyDescent="0.3">
      <c r="D842" s="3"/>
    </row>
    <row r="843" spans="4:4" ht="13.5" customHeight="1" x14ac:dyDescent="0.3">
      <c r="D843" s="3"/>
    </row>
    <row r="844" spans="4:4" ht="13.5" customHeight="1" x14ac:dyDescent="0.3">
      <c r="D844" s="3"/>
    </row>
    <row r="845" spans="4:4" ht="13.5" customHeight="1" x14ac:dyDescent="0.3">
      <c r="D845" s="3"/>
    </row>
    <row r="846" spans="4:4" ht="13.5" customHeight="1" x14ac:dyDescent="0.3">
      <c r="D846" s="3"/>
    </row>
    <row r="847" spans="4:4" ht="13.5" customHeight="1" x14ac:dyDescent="0.3">
      <c r="D847" s="3"/>
    </row>
    <row r="848" spans="4:4" ht="13.5" customHeight="1" x14ac:dyDescent="0.3">
      <c r="D848" s="3"/>
    </row>
    <row r="849" spans="4:4" ht="13.5" customHeight="1" x14ac:dyDescent="0.3">
      <c r="D849" s="3"/>
    </row>
    <row r="850" spans="4:4" ht="13.5" customHeight="1" x14ac:dyDescent="0.3">
      <c r="D850" s="3"/>
    </row>
    <row r="851" spans="4:4" ht="13.5" customHeight="1" x14ac:dyDescent="0.3">
      <c r="D851" s="3"/>
    </row>
    <row r="852" spans="4:4" ht="13.5" customHeight="1" x14ac:dyDescent="0.3">
      <c r="D852" s="3"/>
    </row>
    <row r="853" spans="4:4" ht="13.5" customHeight="1" x14ac:dyDescent="0.3">
      <c r="D853" s="3"/>
    </row>
    <row r="854" spans="4:4" ht="13.5" customHeight="1" x14ac:dyDescent="0.3">
      <c r="D854" s="3"/>
    </row>
    <row r="855" spans="4:4" ht="13.5" customHeight="1" x14ac:dyDescent="0.3">
      <c r="D855" s="3"/>
    </row>
    <row r="856" spans="4:4" ht="13.5" customHeight="1" x14ac:dyDescent="0.3">
      <c r="D856" s="3"/>
    </row>
    <row r="857" spans="4:4" ht="13.5" customHeight="1" x14ac:dyDescent="0.3">
      <c r="D857" s="3"/>
    </row>
    <row r="858" spans="4:4" ht="13.5" customHeight="1" x14ac:dyDescent="0.3">
      <c r="D858" s="3"/>
    </row>
    <row r="859" spans="4:4" ht="13.5" customHeight="1" x14ac:dyDescent="0.3">
      <c r="D859" s="3"/>
    </row>
    <row r="860" spans="4:4" ht="13.5" customHeight="1" x14ac:dyDescent="0.3">
      <c r="D860" s="3"/>
    </row>
    <row r="861" spans="4:4" ht="13.5" customHeight="1" x14ac:dyDescent="0.3">
      <c r="D861" s="3"/>
    </row>
    <row r="862" spans="4:4" ht="13.5" customHeight="1" x14ac:dyDescent="0.3">
      <c r="D862" s="3"/>
    </row>
    <row r="863" spans="4:4" ht="13.5" customHeight="1" x14ac:dyDescent="0.3">
      <c r="D863" s="3"/>
    </row>
    <row r="864" spans="4:4" ht="13.5" customHeight="1" x14ac:dyDescent="0.3">
      <c r="D864" s="3"/>
    </row>
    <row r="865" spans="4:4" ht="13.5" customHeight="1" x14ac:dyDescent="0.3">
      <c r="D865" s="3"/>
    </row>
    <row r="866" spans="4:4" ht="13.5" customHeight="1" x14ac:dyDescent="0.3">
      <c r="D866" s="3"/>
    </row>
    <row r="867" spans="4:4" ht="13.5" customHeight="1" x14ac:dyDescent="0.3">
      <c r="D867" s="3"/>
    </row>
    <row r="868" spans="4:4" ht="13.5" customHeight="1" x14ac:dyDescent="0.3">
      <c r="D868" s="3"/>
    </row>
    <row r="869" spans="4:4" ht="13.5" customHeight="1" x14ac:dyDescent="0.3">
      <c r="D869" s="3"/>
    </row>
    <row r="870" spans="4:4" ht="13.5" customHeight="1" x14ac:dyDescent="0.3">
      <c r="D870" s="3"/>
    </row>
    <row r="871" spans="4:4" ht="13.5" customHeight="1" x14ac:dyDescent="0.3">
      <c r="D871" s="3"/>
    </row>
    <row r="872" spans="4:4" ht="13.5" customHeight="1" x14ac:dyDescent="0.3">
      <c r="D872" s="3"/>
    </row>
    <row r="873" spans="4:4" ht="13.5" customHeight="1" x14ac:dyDescent="0.3">
      <c r="D873" s="3"/>
    </row>
    <row r="874" spans="4:4" ht="13.5" customHeight="1" x14ac:dyDescent="0.3">
      <c r="D874" s="3"/>
    </row>
    <row r="875" spans="4:4" ht="13.5" customHeight="1" x14ac:dyDescent="0.3">
      <c r="D875" s="3"/>
    </row>
    <row r="876" spans="4:4" ht="13.5" customHeight="1" x14ac:dyDescent="0.3">
      <c r="D876" s="3"/>
    </row>
    <row r="877" spans="4:4" ht="13.5" customHeight="1" x14ac:dyDescent="0.3">
      <c r="D877" s="3"/>
    </row>
    <row r="878" spans="4:4" ht="13.5" customHeight="1" x14ac:dyDescent="0.3">
      <c r="D878" s="3"/>
    </row>
    <row r="879" spans="4:4" ht="13.5" customHeight="1" x14ac:dyDescent="0.3">
      <c r="D879" s="3"/>
    </row>
    <row r="880" spans="4:4" ht="13.5" customHeight="1" x14ac:dyDescent="0.3">
      <c r="D880" s="3"/>
    </row>
    <row r="881" spans="4:4" ht="13.5" customHeight="1" x14ac:dyDescent="0.3">
      <c r="D881" s="3"/>
    </row>
    <row r="882" spans="4:4" ht="13.5" customHeight="1" x14ac:dyDescent="0.3">
      <c r="D882" s="3"/>
    </row>
    <row r="883" spans="4:4" ht="13.5" customHeight="1" x14ac:dyDescent="0.3">
      <c r="D883" s="3"/>
    </row>
    <row r="884" spans="4:4" ht="13.5" customHeight="1" x14ac:dyDescent="0.3">
      <c r="D884" s="3"/>
    </row>
    <row r="885" spans="4:4" ht="13.5" customHeight="1" x14ac:dyDescent="0.3">
      <c r="D885" s="3"/>
    </row>
    <row r="886" spans="4:4" ht="13.5" customHeight="1" x14ac:dyDescent="0.3">
      <c r="D886" s="3"/>
    </row>
    <row r="887" spans="4:4" ht="13.5" customHeight="1" x14ac:dyDescent="0.3">
      <c r="D887" s="3"/>
    </row>
    <row r="888" spans="4:4" ht="13.5" customHeight="1" x14ac:dyDescent="0.3">
      <c r="D888" s="3"/>
    </row>
    <row r="889" spans="4:4" ht="13.5" customHeight="1" x14ac:dyDescent="0.3">
      <c r="D889" s="3"/>
    </row>
    <row r="890" spans="4:4" ht="13.5" customHeight="1" x14ac:dyDescent="0.3">
      <c r="D890" s="3"/>
    </row>
    <row r="891" spans="4:4" ht="13.5" customHeight="1" x14ac:dyDescent="0.3">
      <c r="D891" s="3"/>
    </row>
    <row r="892" spans="4:4" ht="13.5" customHeight="1" x14ac:dyDescent="0.3">
      <c r="D892" s="3"/>
    </row>
    <row r="893" spans="4:4" ht="13.5" customHeight="1" x14ac:dyDescent="0.3">
      <c r="D893" s="3"/>
    </row>
    <row r="894" spans="4:4" ht="13.5" customHeight="1" x14ac:dyDescent="0.3">
      <c r="D894" s="3"/>
    </row>
    <row r="895" spans="4:4" ht="13.5" customHeight="1" x14ac:dyDescent="0.3">
      <c r="D895" s="3"/>
    </row>
    <row r="896" spans="4:4" ht="13.5" customHeight="1" x14ac:dyDescent="0.3">
      <c r="D896" s="3"/>
    </row>
    <row r="897" spans="4:4" ht="13.5" customHeight="1" x14ac:dyDescent="0.3">
      <c r="D897" s="3"/>
    </row>
    <row r="898" spans="4:4" ht="13.5" customHeight="1" x14ac:dyDescent="0.3">
      <c r="D898" s="3"/>
    </row>
    <row r="899" spans="4:4" ht="13.5" customHeight="1" x14ac:dyDescent="0.3">
      <c r="D899" s="3"/>
    </row>
    <row r="900" spans="4:4" ht="13.5" customHeight="1" x14ac:dyDescent="0.3">
      <c r="D900" s="3"/>
    </row>
    <row r="901" spans="4:4" ht="13.5" customHeight="1" x14ac:dyDescent="0.3">
      <c r="D901" s="3"/>
    </row>
    <row r="902" spans="4:4" ht="13.5" customHeight="1" x14ac:dyDescent="0.3">
      <c r="D902" s="3"/>
    </row>
    <row r="903" spans="4:4" ht="13.5" customHeight="1" x14ac:dyDescent="0.3">
      <c r="D903" s="3"/>
    </row>
    <row r="904" spans="4:4" ht="13.5" customHeight="1" x14ac:dyDescent="0.3">
      <c r="D904" s="3"/>
    </row>
    <row r="905" spans="4:4" ht="13.5" customHeight="1" x14ac:dyDescent="0.3">
      <c r="D905" s="3"/>
    </row>
    <row r="906" spans="4:4" ht="13.5" customHeight="1" x14ac:dyDescent="0.3">
      <c r="D906" s="3"/>
    </row>
    <row r="907" spans="4:4" ht="13.5" customHeight="1" x14ac:dyDescent="0.3">
      <c r="D907" s="3"/>
    </row>
    <row r="908" spans="4:4" ht="13.5" customHeight="1" x14ac:dyDescent="0.3">
      <c r="D908" s="3"/>
    </row>
    <row r="909" spans="4:4" ht="13.5" customHeight="1" x14ac:dyDescent="0.3">
      <c r="D909" s="3"/>
    </row>
    <row r="910" spans="4:4" ht="13.5" customHeight="1" x14ac:dyDescent="0.3">
      <c r="D910" s="3"/>
    </row>
    <row r="911" spans="4:4" ht="13.5" customHeight="1" x14ac:dyDescent="0.3">
      <c r="D911" s="3"/>
    </row>
    <row r="912" spans="4:4" ht="13.5" customHeight="1" x14ac:dyDescent="0.3">
      <c r="D912" s="3"/>
    </row>
    <row r="913" spans="4:4" ht="13.5" customHeight="1" x14ac:dyDescent="0.3">
      <c r="D913" s="3"/>
    </row>
    <row r="914" spans="4:4" ht="13.5" customHeight="1" x14ac:dyDescent="0.3">
      <c r="D914" s="3"/>
    </row>
    <row r="915" spans="4:4" ht="13.5" customHeight="1" x14ac:dyDescent="0.3">
      <c r="D915" s="3"/>
    </row>
    <row r="916" spans="4:4" ht="13.5" customHeight="1" x14ac:dyDescent="0.3">
      <c r="D916" s="3"/>
    </row>
    <row r="917" spans="4:4" ht="13.5" customHeight="1" x14ac:dyDescent="0.3">
      <c r="D917" s="3"/>
    </row>
    <row r="918" spans="4:4" ht="13.5" customHeight="1" x14ac:dyDescent="0.3">
      <c r="D918" s="3"/>
    </row>
    <row r="919" spans="4:4" ht="13.5" customHeight="1" x14ac:dyDescent="0.3">
      <c r="D919" s="3"/>
    </row>
    <row r="920" spans="4:4" ht="13.5" customHeight="1" x14ac:dyDescent="0.3">
      <c r="D920" s="3"/>
    </row>
    <row r="921" spans="4:4" ht="13.5" customHeight="1" x14ac:dyDescent="0.3">
      <c r="D921" s="3"/>
    </row>
    <row r="922" spans="4:4" ht="13.5" customHeight="1" x14ac:dyDescent="0.3">
      <c r="D922" s="3"/>
    </row>
    <row r="923" spans="4:4" ht="13.5" customHeight="1" x14ac:dyDescent="0.3">
      <c r="D923" s="3"/>
    </row>
    <row r="924" spans="4:4" ht="13.5" customHeight="1" x14ac:dyDescent="0.3">
      <c r="D924" s="3"/>
    </row>
    <row r="925" spans="4:4" ht="13.5" customHeight="1" x14ac:dyDescent="0.3">
      <c r="D925" s="3"/>
    </row>
    <row r="926" spans="4:4" ht="13.5" customHeight="1" x14ac:dyDescent="0.3">
      <c r="D926" s="3"/>
    </row>
    <row r="927" spans="4:4" ht="13.5" customHeight="1" x14ac:dyDescent="0.3">
      <c r="D927" s="3"/>
    </row>
    <row r="928" spans="4:4" ht="13.5" customHeight="1" x14ac:dyDescent="0.3">
      <c r="D928" s="3"/>
    </row>
    <row r="929" spans="4:4" ht="13.5" customHeight="1" x14ac:dyDescent="0.3">
      <c r="D929" s="3"/>
    </row>
    <row r="930" spans="4:4" ht="13.5" customHeight="1" x14ac:dyDescent="0.3">
      <c r="D930" s="3"/>
    </row>
    <row r="931" spans="4:4" ht="13.5" customHeight="1" x14ac:dyDescent="0.3">
      <c r="D931" s="3"/>
    </row>
    <row r="932" spans="4:4" ht="13.5" customHeight="1" x14ac:dyDescent="0.3">
      <c r="D932" s="3"/>
    </row>
    <row r="933" spans="4:4" ht="13.5" customHeight="1" x14ac:dyDescent="0.3">
      <c r="D933" s="3"/>
    </row>
    <row r="934" spans="4:4" ht="13.5" customHeight="1" x14ac:dyDescent="0.3">
      <c r="D934" s="3"/>
    </row>
    <row r="935" spans="4:4" ht="13.5" customHeight="1" x14ac:dyDescent="0.3">
      <c r="D935" s="3"/>
    </row>
    <row r="936" spans="4:4" ht="13.5" customHeight="1" x14ac:dyDescent="0.3">
      <c r="D936" s="3"/>
    </row>
    <row r="937" spans="4:4" ht="13.5" customHeight="1" x14ac:dyDescent="0.3">
      <c r="D937" s="3"/>
    </row>
    <row r="938" spans="4:4" ht="13.5" customHeight="1" x14ac:dyDescent="0.3">
      <c r="D938" s="3"/>
    </row>
    <row r="939" spans="4:4" ht="13.5" customHeight="1" x14ac:dyDescent="0.3">
      <c r="D939" s="3"/>
    </row>
    <row r="940" spans="4:4" ht="13.5" customHeight="1" x14ac:dyDescent="0.3">
      <c r="D940" s="3"/>
    </row>
    <row r="941" spans="4:4" ht="13.5" customHeight="1" x14ac:dyDescent="0.3">
      <c r="D941" s="3"/>
    </row>
    <row r="942" spans="4:4" ht="13.5" customHeight="1" x14ac:dyDescent="0.3">
      <c r="D942" s="3"/>
    </row>
    <row r="943" spans="4:4" ht="13.5" customHeight="1" x14ac:dyDescent="0.3">
      <c r="D943" s="3"/>
    </row>
    <row r="944" spans="4:4" ht="13.5" customHeight="1" x14ac:dyDescent="0.3">
      <c r="D944" s="3"/>
    </row>
    <row r="945" spans="4:4" ht="13.5" customHeight="1" x14ac:dyDescent="0.3">
      <c r="D945" s="3"/>
    </row>
    <row r="946" spans="4:4" ht="13.5" customHeight="1" x14ac:dyDescent="0.3">
      <c r="D946" s="3"/>
    </row>
    <row r="947" spans="4:4" ht="13.5" customHeight="1" x14ac:dyDescent="0.3">
      <c r="D947" s="3"/>
    </row>
    <row r="948" spans="4:4" ht="13.5" customHeight="1" x14ac:dyDescent="0.3">
      <c r="D948" s="3"/>
    </row>
    <row r="949" spans="4:4" ht="13.5" customHeight="1" x14ac:dyDescent="0.3">
      <c r="D949" s="3"/>
    </row>
    <row r="950" spans="4:4" ht="13.5" customHeight="1" x14ac:dyDescent="0.3">
      <c r="D950" s="3"/>
    </row>
    <row r="951" spans="4:4" ht="13.5" customHeight="1" x14ac:dyDescent="0.3">
      <c r="D951" s="3"/>
    </row>
    <row r="952" spans="4:4" ht="13.5" customHeight="1" x14ac:dyDescent="0.3">
      <c r="D952" s="3"/>
    </row>
    <row r="953" spans="4:4" ht="13.5" customHeight="1" x14ac:dyDescent="0.3">
      <c r="D953" s="3"/>
    </row>
    <row r="954" spans="4:4" ht="13.5" customHeight="1" x14ac:dyDescent="0.3">
      <c r="D954" s="3"/>
    </row>
    <row r="955" spans="4:4" ht="13.5" customHeight="1" x14ac:dyDescent="0.3">
      <c r="D955" s="3"/>
    </row>
    <row r="956" spans="4:4" ht="13.5" customHeight="1" x14ac:dyDescent="0.3">
      <c r="D956" s="3"/>
    </row>
    <row r="957" spans="4:4" ht="13.5" customHeight="1" x14ac:dyDescent="0.3">
      <c r="D957" s="3"/>
    </row>
    <row r="958" spans="4:4" ht="13.5" customHeight="1" x14ac:dyDescent="0.3">
      <c r="D958" s="3"/>
    </row>
    <row r="959" spans="4:4" ht="13.5" customHeight="1" x14ac:dyDescent="0.3">
      <c r="D959" s="3"/>
    </row>
    <row r="960" spans="4:4" ht="13.5" customHeight="1" x14ac:dyDescent="0.3">
      <c r="D960" s="3"/>
    </row>
    <row r="961" spans="4:4" ht="13.5" customHeight="1" x14ac:dyDescent="0.3">
      <c r="D961" s="3"/>
    </row>
    <row r="962" spans="4:4" ht="13.5" customHeight="1" x14ac:dyDescent="0.3">
      <c r="D962" s="3"/>
    </row>
    <row r="963" spans="4:4" ht="13.5" customHeight="1" x14ac:dyDescent="0.3">
      <c r="D963" s="3"/>
    </row>
    <row r="964" spans="4:4" ht="13.5" customHeight="1" x14ac:dyDescent="0.3">
      <c r="D964" s="3"/>
    </row>
    <row r="965" spans="4:4" ht="13.5" customHeight="1" x14ac:dyDescent="0.3">
      <c r="D965" s="3"/>
    </row>
    <row r="966" spans="4:4" ht="13.5" customHeight="1" x14ac:dyDescent="0.3">
      <c r="D966" s="3"/>
    </row>
    <row r="967" spans="4:4" ht="13.5" customHeight="1" x14ac:dyDescent="0.3">
      <c r="D967" s="3"/>
    </row>
    <row r="968" spans="4:4" ht="13.5" customHeight="1" x14ac:dyDescent="0.3">
      <c r="D968" s="3"/>
    </row>
    <row r="969" spans="4:4" ht="13.5" customHeight="1" x14ac:dyDescent="0.3">
      <c r="D969" s="3"/>
    </row>
    <row r="970" spans="4:4" ht="13.5" customHeight="1" x14ac:dyDescent="0.3">
      <c r="D970" s="3"/>
    </row>
    <row r="971" spans="4:4" ht="13.5" customHeight="1" x14ac:dyDescent="0.3">
      <c r="D971" s="3"/>
    </row>
    <row r="972" spans="4:4" ht="13.5" customHeight="1" x14ac:dyDescent="0.3">
      <c r="D972" s="3"/>
    </row>
    <row r="973" spans="4:4" ht="13.5" customHeight="1" x14ac:dyDescent="0.3">
      <c r="D973" s="3"/>
    </row>
    <row r="974" spans="4:4" ht="13.5" customHeight="1" x14ac:dyDescent="0.3">
      <c r="D974" s="3"/>
    </row>
    <row r="975" spans="4:4" ht="13.5" customHeight="1" x14ac:dyDescent="0.3">
      <c r="D975" s="3"/>
    </row>
    <row r="976" spans="4:4" ht="13.5" customHeight="1" x14ac:dyDescent="0.3">
      <c r="D976" s="3"/>
    </row>
    <row r="977" spans="4:4" ht="13.5" customHeight="1" x14ac:dyDescent="0.3">
      <c r="D977" s="3"/>
    </row>
    <row r="978" spans="4:4" ht="13.5" customHeight="1" x14ac:dyDescent="0.3">
      <c r="D978" s="3"/>
    </row>
    <row r="979" spans="4:4" ht="13.5" customHeight="1" x14ac:dyDescent="0.3">
      <c r="D979" s="3"/>
    </row>
    <row r="980" spans="4:4" ht="13.5" customHeight="1" x14ac:dyDescent="0.3">
      <c r="D980" s="3"/>
    </row>
    <row r="981" spans="4:4" ht="13.5" customHeight="1" x14ac:dyDescent="0.3">
      <c r="D981" s="3"/>
    </row>
    <row r="982" spans="4:4" ht="13.5" customHeight="1" x14ac:dyDescent="0.3">
      <c r="D982" s="3"/>
    </row>
    <row r="983" spans="4:4" ht="13.5" customHeight="1" x14ac:dyDescent="0.3">
      <c r="D983" s="3"/>
    </row>
    <row r="984" spans="4:4" ht="13.5" customHeight="1" x14ac:dyDescent="0.3">
      <c r="D984" s="3"/>
    </row>
    <row r="985" spans="4:4" ht="13.5" customHeight="1" x14ac:dyDescent="0.3">
      <c r="D985" s="3"/>
    </row>
    <row r="986" spans="4:4" ht="13.5" customHeight="1" x14ac:dyDescent="0.3">
      <c r="D986" s="3"/>
    </row>
    <row r="987" spans="4:4" ht="13.5" customHeight="1" x14ac:dyDescent="0.3">
      <c r="D987" s="3"/>
    </row>
    <row r="988" spans="4:4" ht="13.5" customHeight="1" x14ac:dyDescent="0.3">
      <c r="D988" s="3"/>
    </row>
    <row r="989" spans="4:4" ht="13.5" customHeight="1" x14ac:dyDescent="0.3">
      <c r="D989" s="3"/>
    </row>
    <row r="990" spans="4:4" ht="13.5" customHeight="1" x14ac:dyDescent="0.3">
      <c r="D990" s="3"/>
    </row>
    <row r="991" spans="4:4" ht="13.5" customHeight="1" x14ac:dyDescent="0.3">
      <c r="D991" s="3"/>
    </row>
    <row r="992" spans="4:4" ht="13.5" customHeight="1" x14ac:dyDescent="0.3">
      <c r="D992" s="3"/>
    </row>
    <row r="993" spans="4:4" ht="13.5" customHeight="1" x14ac:dyDescent="0.3">
      <c r="D993" s="3"/>
    </row>
    <row r="994" spans="4:4" ht="13.5" customHeight="1" x14ac:dyDescent="0.3">
      <c r="D994" s="3"/>
    </row>
    <row r="995" spans="4:4" ht="13.5" customHeight="1" x14ac:dyDescent="0.3">
      <c r="D995" s="3"/>
    </row>
    <row r="996" spans="4:4" ht="13.5" customHeight="1" x14ac:dyDescent="0.3">
      <c r="D996" s="3"/>
    </row>
    <row r="997" spans="4:4" ht="13.5" customHeight="1" x14ac:dyDescent="0.3">
      <c r="D997" s="3"/>
    </row>
    <row r="998" spans="4:4" ht="13.5" customHeight="1" x14ac:dyDescent="0.3">
      <c r="D998" s="3"/>
    </row>
    <row r="999" spans="4:4" ht="13.5" customHeight="1" x14ac:dyDescent="0.3">
      <c r="D999" s="3"/>
    </row>
    <row r="1000" spans="4:4" ht="13.5" customHeight="1" x14ac:dyDescent="0.3">
      <c r="D1000" s="3"/>
    </row>
    <row r="1001" spans="4:4" ht="13.5" customHeight="1" x14ac:dyDescent="0.3">
      <c r="D1001" s="3"/>
    </row>
    <row r="1002" spans="4:4" ht="13.5" customHeight="1" x14ac:dyDescent="0.3">
      <c r="D1002" s="3"/>
    </row>
    <row r="1003" spans="4:4" ht="13.5" customHeight="1" x14ac:dyDescent="0.3">
      <c r="D1003" s="3"/>
    </row>
    <row r="1004" spans="4:4" ht="13.5" customHeight="1" x14ac:dyDescent="0.3">
      <c r="D1004" s="3"/>
    </row>
    <row r="1005" spans="4:4" ht="13.5" customHeight="1" x14ac:dyDescent="0.3">
      <c r="D1005" s="3"/>
    </row>
    <row r="1006" spans="4:4" ht="13.5" customHeight="1" x14ac:dyDescent="0.3">
      <c r="D1006" s="3"/>
    </row>
    <row r="1007" spans="4:4" ht="13.5" customHeight="1" x14ac:dyDescent="0.3">
      <c r="D1007" s="3"/>
    </row>
    <row r="1008" spans="4:4" ht="13.5" customHeight="1" x14ac:dyDescent="0.3">
      <c r="D1008" s="3"/>
    </row>
    <row r="1009" spans="4:4" ht="13.5" customHeight="1" x14ac:dyDescent="0.3">
      <c r="D1009" s="3"/>
    </row>
    <row r="1010" spans="4:4" ht="13.5" customHeight="1" x14ac:dyDescent="0.3">
      <c r="D1010" s="3"/>
    </row>
    <row r="1011" spans="4:4" ht="13.5" customHeight="1" x14ac:dyDescent="0.3">
      <c r="D1011" s="3"/>
    </row>
    <row r="1012" spans="4:4" ht="13.5" customHeight="1" x14ac:dyDescent="0.3">
      <c r="D1012" s="3"/>
    </row>
    <row r="1013" spans="4:4" ht="13.5" customHeight="1" x14ac:dyDescent="0.3">
      <c r="D1013" s="3"/>
    </row>
    <row r="1014" spans="4:4" ht="13.5" customHeight="1" x14ac:dyDescent="0.3">
      <c r="D1014" s="3"/>
    </row>
    <row r="1015" spans="4:4" ht="13.5" customHeight="1" x14ac:dyDescent="0.3">
      <c r="D1015" s="3"/>
    </row>
    <row r="1016" spans="4:4" ht="13.5" customHeight="1" x14ac:dyDescent="0.3">
      <c r="D1016" s="3"/>
    </row>
    <row r="1017" spans="4:4" ht="13.5" customHeight="1" x14ac:dyDescent="0.3">
      <c r="D1017" s="3"/>
    </row>
    <row r="1018" spans="4:4" ht="13.5" customHeight="1" x14ac:dyDescent="0.3">
      <c r="D1018" s="3"/>
    </row>
    <row r="1019" spans="4:4" ht="13.5" customHeight="1" x14ac:dyDescent="0.3">
      <c r="D1019" s="3"/>
    </row>
    <row r="1020" spans="4:4" ht="13.5" customHeight="1" x14ac:dyDescent="0.3">
      <c r="D1020" s="3"/>
    </row>
    <row r="1021" spans="4:4" ht="13.5" customHeight="1" x14ac:dyDescent="0.3">
      <c r="D1021" s="3"/>
    </row>
    <row r="1022" spans="4:4" ht="13.5" customHeight="1" x14ac:dyDescent="0.3">
      <c r="D1022" s="3"/>
    </row>
    <row r="1023" spans="4:4" ht="13.5" customHeight="1" x14ac:dyDescent="0.3">
      <c r="D1023" s="3"/>
    </row>
    <row r="1024" spans="4:4" ht="13.5" customHeight="1" x14ac:dyDescent="0.3">
      <c r="D1024" s="3"/>
    </row>
    <row r="1025" spans="4:4" ht="13.5" customHeight="1" x14ac:dyDescent="0.3">
      <c r="D1025" s="3"/>
    </row>
    <row r="1026" spans="4:4" ht="13.5" customHeight="1" x14ac:dyDescent="0.3">
      <c r="D1026" s="3"/>
    </row>
    <row r="1027" spans="4:4" ht="13.5" customHeight="1" x14ac:dyDescent="0.3">
      <c r="D1027" s="3"/>
    </row>
    <row r="1028" spans="4:4" ht="13.5" customHeight="1" x14ac:dyDescent="0.3">
      <c r="D1028" s="3"/>
    </row>
    <row r="1029" spans="4:4" ht="13.5" customHeight="1" x14ac:dyDescent="0.3">
      <c r="D1029" s="3"/>
    </row>
    <row r="1030" spans="4:4" ht="13.5" customHeight="1" x14ac:dyDescent="0.3">
      <c r="D1030" s="3"/>
    </row>
    <row r="1031" spans="4:4" ht="13.5" customHeight="1" x14ac:dyDescent="0.3">
      <c r="D1031" s="3"/>
    </row>
    <row r="1032" spans="4:4" ht="13.5" customHeight="1" x14ac:dyDescent="0.3">
      <c r="D1032" s="3"/>
    </row>
    <row r="1033" spans="4:4" ht="13.5" customHeight="1" x14ac:dyDescent="0.3">
      <c r="D1033" s="3"/>
    </row>
    <row r="1034" spans="4:4" ht="13.5" customHeight="1" x14ac:dyDescent="0.3">
      <c r="D1034" s="3"/>
    </row>
    <row r="1035" spans="4:4" ht="13.5" customHeight="1" x14ac:dyDescent="0.3">
      <c r="D1035" s="3"/>
    </row>
    <row r="1036" spans="4:4" ht="13.5" customHeight="1" x14ac:dyDescent="0.3">
      <c r="D1036" s="3"/>
    </row>
    <row r="1037" spans="4:4" ht="13.5" customHeight="1" x14ac:dyDescent="0.3">
      <c r="D1037" s="3"/>
    </row>
    <row r="1038" spans="4:4" ht="13.5" customHeight="1" x14ac:dyDescent="0.3">
      <c r="D1038" s="3"/>
    </row>
    <row r="1039" spans="4:4" ht="13.5" customHeight="1" x14ac:dyDescent="0.3">
      <c r="D1039" s="3"/>
    </row>
    <row r="1040" spans="4:4" ht="13.5" customHeight="1" x14ac:dyDescent="0.3">
      <c r="D1040" s="3"/>
    </row>
    <row r="1041" spans="4:4" ht="13.5" customHeight="1" x14ac:dyDescent="0.3">
      <c r="D1041" s="3"/>
    </row>
    <row r="1042" spans="4:4" ht="13.5" customHeight="1" x14ac:dyDescent="0.3">
      <c r="D1042" s="3"/>
    </row>
    <row r="1043" spans="4:4" ht="13.5" customHeight="1" x14ac:dyDescent="0.3">
      <c r="D1043" s="3"/>
    </row>
    <row r="1044" spans="4:4" ht="13.5" customHeight="1" x14ac:dyDescent="0.3">
      <c r="D1044" s="3"/>
    </row>
    <row r="1045" spans="4:4" ht="13.5" customHeight="1" x14ac:dyDescent="0.3">
      <c r="D1045" s="3"/>
    </row>
    <row r="1046" spans="4:4" ht="13.5" customHeight="1" x14ac:dyDescent="0.3">
      <c r="D1046" s="3"/>
    </row>
    <row r="1047" spans="4:4" ht="13.5" customHeight="1" x14ac:dyDescent="0.3">
      <c r="D1047" s="3"/>
    </row>
    <row r="1048" spans="4:4" ht="13.5" customHeight="1" x14ac:dyDescent="0.3">
      <c r="D1048" s="3"/>
    </row>
    <row r="1049" spans="4:4" ht="13.5" customHeight="1" x14ac:dyDescent="0.3">
      <c r="D1049" s="3"/>
    </row>
    <row r="1050" spans="4:4" ht="13.5" customHeight="1" x14ac:dyDescent="0.3">
      <c r="D1050" s="3"/>
    </row>
    <row r="1051" spans="4:4" ht="13.5" customHeight="1" x14ac:dyDescent="0.3">
      <c r="D1051" s="3"/>
    </row>
    <row r="1052" spans="4:4" ht="13.5" customHeight="1" x14ac:dyDescent="0.3">
      <c r="D1052" s="3"/>
    </row>
    <row r="1053" spans="4:4" ht="13.5" customHeight="1" x14ac:dyDescent="0.3">
      <c r="D1053" s="3"/>
    </row>
    <row r="1054" spans="4:4" ht="13.5" customHeight="1" x14ac:dyDescent="0.3">
      <c r="D1054" s="3"/>
    </row>
    <row r="1055" spans="4:4" ht="13.5" customHeight="1" x14ac:dyDescent="0.3">
      <c r="D1055" s="3"/>
    </row>
    <row r="1056" spans="4:4" ht="13.5" customHeight="1" x14ac:dyDescent="0.3">
      <c r="D1056" s="3"/>
    </row>
    <row r="1057" spans="4:4" ht="13.5" customHeight="1" x14ac:dyDescent="0.3">
      <c r="D1057" s="3"/>
    </row>
    <row r="1058" spans="4:4" ht="13.5" customHeight="1" x14ac:dyDescent="0.3">
      <c r="D1058" s="3"/>
    </row>
    <row r="1059" spans="4:4" ht="13.5" customHeight="1" x14ac:dyDescent="0.3">
      <c r="D1059" s="3"/>
    </row>
    <row r="1060" spans="4:4" ht="13.5" customHeight="1" x14ac:dyDescent="0.3">
      <c r="D1060" s="3"/>
    </row>
    <row r="1061" spans="4:4" ht="13.5" customHeight="1" x14ac:dyDescent="0.3">
      <c r="D1061" s="3"/>
    </row>
    <row r="1062" spans="4:4" ht="13.5" customHeight="1" x14ac:dyDescent="0.3">
      <c r="D1062" s="3"/>
    </row>
    <row r="1063" spans="4:4" ht="13.5" customHeight="1" x14ac:dyDescent="0.3">
      <c r="D1063" s="3"/>
    </row>
    <row r="1064" spans="4:4" ht="13.5" customHeight="1" x14ac:dyDescent="0.3">
      <c r="D1064" s="3"/>
    </row>
    <row r="1065" spans="4:4" ht="13.5" customHeight="1" x14ac:dyDescent="0.3">
      <c r="D1065" s="3"/>
    </row>
    <row r="1066" spans="4:4" ht="13.5" customHeight="1" x14ac:dyDescent="0.3">
      <c r="D1066" s="3"/>
    </row>
    <row r="1067" spans="4:4" ht="13.5" customHeight="1" x14ac:dyDescent="0.3">
      <c r="D1067" s="3"/>
    </row>
    <row r="1068" spans="4:4" ht="13.5" customHeight="1" x14ac:dyDescent="0.3">
      <c r="D1068" s="3"/>
    </row>
    <row r="1069" spans="4:4" ht="13.5" customHeight="1" x14ac:dyDescent="0.3">
      <c r="D1069" s="3"/>
    </row>
    <row r="1070" spans="4:4" ht="13.5" customHeight="1" x14ac:dyDescent="0.3">
      <c r="D1070" s="3"/>
    </row>
    <row r="1071" spans="4:4" ht="13.5" customHeight="1" x14ac:dyDescent="0.3">
      <c r="D1071" s="3"/>
    </row>
    <row r="1072" spans="4:4" ht="13.5" customHeight="1" x14ac:dyDescent="0.3">
      <c r="D1072" s="3"/>
    </row>
    <row r="1073" spans="4:4" ht="13.5" customHeight="1" x14ac:dyDescent="0.3">
      <c r="D1073" s="3"/>
    </row>
    <row r="1074" spans="4:4" ht="13.5" customHeight="1" x14ac:dyDescent="0.3">
      <c r="D1074" s="3"/>
    </row>
    <row r="1075" spans="4:4" ht="13.5" customHeight="1" x14ac:dyDescent="0.3">
      <c r="D1075" s="3"/>
    </row>
    <row r="1076" spans="4:4" ht="13.5" customHeight="1" x14ac:dyDescent="0.3">
      <c r="D1076" s="3"/>
    </row>
    <row r="1077" spans="4:4" ht="13.5" customHeight="1" x14ac:dyDescent="0.3">
      <c r="D1077" s="3"/>
    </row>
    <row r="1078" spans="4:4" ht="13.5" customHeight="1" x14ac:dyDescent="0.3">
      <c r="D1078" s="3"/>
    </row>
    <row r="1079" spans="4:4" ht="13.5" customHeight="1" x14ac:dyDescent="0.3">
      <c r="D1079" s="3"/>
    </row>
    <row r="1080" spans="4:4" ht="13.5" customHeight="1" x14ac:dyDescent="0.3">
      <c r="D1080" s="3"/>
    </row>
    <row r="1081" spans="4:4" ht="13.5" customHeight="1" x14ac:dyDescent="0.3">
      <c r="D1081" s="3"/>
    </row>
    <row r="1082" spans="4:4" ht="13.5" customHeight="1" x14ac:dyDescent="0.3">
      <c r="D1082" s="3"/>
    </row>
    <row r="1083" spans="4:4" ht="13.5" customHeight="1" x14ac:dyDescent="0.3">
      <c r="D1083" s="3"/>
    </row>
    <row r="1084" spans="4:4" ht="13.5" customHeight="1" x14ac:dyDescent="0.3">
      <c r="D1084" s="3"/>
    </row>
    <row r="1085" spans="4:4" ht="13.5" customHeight="1" x14ac:dyDescent="0.3">
      <c r="D1085" s="3"/>
    </row>
    <row r="1086" spans="4:4" ht="13.5" customHeight="1" x14ac:dyDescent="0.3">
      <c r="D1086" s="3"/>
    </row>
    <row r="1087" spans="4:4" ht="13.5" customHeight="1" x14ac:dyDescent="0.3">
      <c r="D1087" s="3"/>
    </row>
    <row r="1088" spans="4:4" ht="13.5" customHeight="1" x14ac:dyDescent="0.3">
      <c r="D1088" s="3"/>
    </row>
    <row r="1089" spans="4:4" ht="13.5" customHeight="1" x14ac:dyDescent="0.3">
      <c r="D1089" s="3"/>
    </row>
    <row r="1090" spans="4:4" ht="13.5" customHeight="1" x14ac:dyDescent="0.3">
      <c r="D1090" s="3"/>
    </row>
    <row r="1091" spans="4:4" ht="13.5" customHeight="1" x14ac:dyDescent="0.3">
      <c r="D1091" s="3"/>
    </row>
    <row r="1092" spans="4:4" ht="13.5" customHeight="1" x14ac:dyDescent="0.3">
      <c r="D1092" s="3"/>
    </row>
    <row r="1093" spans="4:4" ht="13.5" customHeight="1" x14ac:dyDescent="0.3">
      <c r="D1093" s="3"/>
    </row>
    <row r="1094" spans="4:4" ht="13.5" customHeight="1" x14ac:dyDescent="0.3">
      <c r="D1094" s="3"/>
    </row>
    <row r="1095" spans="4:4" ht="13.5" customHeight="1" x14ac:dyDescent="0.3">
      <c r="D1095" s="3"/>
    </row>
    <row r="1096" spans="4:4" ht="13.5" customHeight="1" x14ac:dyDescent="0.3">
      <c r="D1096" s="3"/>
    </row>
    <row r="1097" spans="4:4" ht="13.5" customHeight="1" x14ac:dyDescent="0.3">
      <c r="D1097" s="3"/>
    </row>
    <row r="1098" spans="4:4" ht="13.5" customHeight="1" x14ac:dyDescent="0.3">
      <c r="D1098" s="3"/>
    </row>
    <row r="1099" spans="4:4" ht="13.5" customHeight="1" x14ac:dyDescent="0.3">
      <c r="D1099" s="3"/>
    </row>
    <row r="1100" spans="4:4" ht="13.5" customHeight="1" x14ac:dyDescent="0.3">
      <c r="D1100" s="3"/>
    </row>
    <row r="1101" spans="4:4" ht="13.5" customHeight="1" x14ac:dyDescent="0.3">
      <c r="D1101" s="3"/>
    </row>
    <row r="1102" spans="4:4" ht="13.5" customHeight="1" x14ac:dyDescent="0.3">
      <c r="D1102" s="3"/>
    </row>
    <row r="1103" spans="4:4" ht="13.5" customHeight="1" x14ac:dyDescent="0.3">
      <c r="D1103" s="3"/>
    </row>
    <row r="1104" spans="4:4" ht="13.5" customHeight="1" x14ac:dyDescent="0.3">
      <c r="D1104" s="3"/>
    </row>
    <row r="1105" spans="4:4" ht="13.5" customHeight="1" x14ac:dyDescent="0.3">
      <c r="D1105" s="3"/>
    </row>
    <row r="1106" spans="4:4" ht="13.5" customHeight="1" x14ac:dyDescent="0.3">
      <c r="D1106" s="3"/>
    </row>
    <row r="1107" spans="4:4" ht="13.5" customHeight="1" x14ac:dyDescent="0.3">
      <c r="D1107" s="3"/>
    </row>
    <row r="1108" spans="4:4" ht="13.5" customHeight="1" x14ac:dyDescent="0.3">
      <c r="D1108" s="3"/>
    </row>
    <row r="1109" spans="4:4" ht="13.5" customHeight="1" x14ac:dyDescent="0.3">
      <c r="D1109" s="3"/>
    </row>
    <row r="1110" spans="4:4" ht="13.5" customHeight="1" x14ac:dyDescent="0.3">
      <c r="D1110" s="3"/>
    </row>
    <row r="1111" spans="4:4" ht="13.5" customHeight="1" x14ac:dyDescent="0.3">
      <c r="D1111" s="3"/>
    </row>
    <row r="1112" spans="4:4" ht="13.5" customHeight="1" x14ac:dyDescent="0.3">
      <c r="D1112" s="3"/>
    </row>
    <row r="1113" spans="4:4" ht="13.5" customHeight="1" x14ac:dyDescent="0.3">
      <c r="D1113" s="3"/>
    </row>
    <row r="1114" spans="4:4" ht="13.5" customHeight="1" x14ac:dyDescent="0.3">
      <c r="D1114" s="3"/>
    </row>
    <row r="1115" spans="4:4" ht="13.5" customHeight="1" x14ac:dyDescent="0.3">
      <c r="D1115" s="3"/>
    </row>
    <row r="1116" spans="4:4" ht="13.5" customHeight="1" x14ac:dyDescent="0.3">
      <c r="D1116" s="3"/>
    </row>
    <row r="1117" spans="4:4" ht="13.5" customHeight="1" x14ac:dyDescent="0.3">
      <c r="D1117" s="3"/>
    </row>
    <row r="1118" spans="4:4" ht="13.5" customHeight="1" x14ac:dyDescent="0.3">
      <c r="D1118" s="3"/>
    </row>
    <row r="1119" spans="4:4" ht="13.5" customHeight="1" x14ac:dyDescent="0.3">
      <c r="D1119" s="3"/>
    </row>
    <row r="1120" spans="4:4" ht="13.5" customHeight="1" x14ac:dyDescent="0.3">
      <c r="D1120" s="3"/>
    </row>
    <row r="1121" spans="4:4" ht="13.5" customHeight="1" x14ac:dyDescent="0.3">
      <c r="D1121" s="3"/>
    </row>
    <row r="1122" spans="4:4" ht="13.5" customHeight="1" x14ac:dyDescent="0.3">
      <c r="D1122" s="3"/>
    </row>
    <row r="1123" spans="4:4" ht="13.5" customHeight="1" x14ac:dyDescent="0.3">
      <c r="D1123" s="3"/>
    </row>
    <row r="1124" spans="4:4" ht="13.5" customHeight="1" x14ac:dyDescent="0.3">
      <c r="D1124" s="3"/>
    </row>
    <row r="1125" spans="4:4" ht="13.5" customHeight="1" x14ac:dyDescent="0.3">
      <c r="D1125" s="3"/>
    </row>
    <row r="1126" spans="4:4" ht="13.5" customHeight="1" x14ac:dyDescent="0.3">
      <c r="D1126" s="3"/>
    </row>
    <row r="1127" spans="4:4" ht="13.5" customHeight="1" x14ac:dyDescent="0.3">
      <c r="D1127" s="3"/>
    </row>
    <row r="1128" spans="4:4" ht="13.5" customHeight="1" x14ac:dyDescent="0.3">
      <c r="D1128" s="3"/>
    </row>
    <row r="1129" spans="4:4" ht="13.5" customHeight="1" x14ac:dyDescent="0.3">
      <c r="D1129" s="3"/>
    </row>
    <row r="1130" spans="4:4" ht="13.5" customHeight="1" x14ac:dyDescent="0.3">
      <c r="D1130" s="3"/>
    </row>
    <row r="1131" spans="4:4" ht="13.5" customHeight="1" x14ac:dyDescent="0.3">
      <c r="D1131" s="3"/>
    </row>
    <row r="1132" spans="4:4" ht="13.5" customHeight="1" x14ac:dyDescent="0.3">
      <c r="D1132" s="3"/>
    </row>
    <row r="1133" spans="4:4" ht="13.5" customHeight="1" x14ac:dyDescent="0.3">
      <c r="D1133" s="3"/>
    </row>
    <row r="1134" spans="4:4" ht="13.5" customHeight="1" x14ac:dyDescent="0.3">
      <c r="D1134" s="3"/>
    </row>
    <row r="1135" spans="4:4" ht="13.5" customHeight="1" x14ac:dyDescent="0.3">
      <c r="D1135" s="3"/>
    </row>
    <row r="1136" spans="4:4" ht="13.5" customHeight="1" x14ac:dyDescent="0.3">
      <c r="D1136" s="3"/>
    </row>
    <row r="1137" spans="4:4" ht="13.5" customHeight="1" x14ac:dyDescent="0.3">
      <c r="D1137" s="3"/>
    </row>
    <row r="1138" spans="4:4" ht="13.5" customHeight="1" x14ac:dyDescent="0.3">
      <c r="D1138" s="3"/>
    </row>
    <row r="1139" spans="4:4" ht="13.5" customHeight="1" x14ac:dyDescent="0.3">
      <c r="D1139" s="3"/>
    </row>
    <row r="1140" spans="4:4" ht="13.5" customHeight="1" x14ac:dyDescent="0.3">
      <c r="D1140" s="3"/>
    </row>
    <row r="1141" spans="4:4" ht="13.5" customHeight="1" x14ac:dyDescent="0.3">
      <c r="D1141" s="3"/>
    </row>
    <row r="1142" spans="4:4" ht="13.5" customHeight="1" x14ac:dyDescent="0.3">
      <c r="D1142" s="3"/>
    </row>
    <row r="1143" spans="4:4" ht="13.5" customHeight="1" x14ac:dyDescent="0.3">
      <c r="D1143" s="3"/>
    </row>
    <row r="1144" spans="4:4" ht="13.5" customHeight="1" x14ac:dyDescent="0.3">
      <c r="D1144" s="3"/>
    </row>
    <row r="1145" spans="4:4" ht="13.5" customHeight="1" x14ac:dyDescent="0.3">
      <c r="D1145" s="3"/>
    </row>
    <row r="1146" spans="4:4" ht="13.5" customHeight="1" x14ac:dyDescent="0.3">
      <c r="D1146" s="3"/>
    </row>
    <row r="1147" spans="4:4" ht="13.5" customHeight="1" x14ac:dyDescent="0.3">
      <c r="D1147" s="3"/>
    </row>
    <row r="1148" spans="4:4" ht="13.5" customHeight="1" x14ac:dyDescent="0.3">
      <c r="D1148" s="3"/>
    </row>
    <row r="1149" spans="4:4" ht="13.5" customHeight="1" x14ac:dyDescent="0.3">
      <c r="D1149" s="3"/>
    </row>
    <row r="1150" spans="4:4" ht="13.5" customHeight="1" x14ac:dyDescent="0.3">
      <c r="D1150" s="3"/>
    </row>
    <row r="1151" spans="4:4" ht="13.5" customHeight="1" x14ac:dyDescent="0.3">
      <c r="D1151" s="3"/>
    </row>
    <row r="1152" spans="4:4" ht="13.5" customHeight="1" x14ac:dyDescent="0.3">
      <c r="D1152" s="3"/>
    </row>
    <row r="1153" spans="4:4" ht="13.5" customHeight="1" x14ac:dyDescent="0.3">
      <c r="D1153" s="3"/>
    </row>
    <row r="1154" spans="4:4" ht="13.5" customHeight="1" x14ac:dyDescent="0.3">
      <c r="D1154" s="3"/>
    </row>
    <row r="1155" spans="4:4" ht="13.5" customHeight="1" x14ac:dyDescent="0.3">
      <c r="D1155" s="3"/>
    </row>
    <row r="1156" spans="4:4" ht="13.5" customHeight="1" x14ac:dyDescent="0.3">
      <c r="D1156" s="3"/>
    </row>
    <row r="1157" spans="4:4" ht="13.5" customHeight="1" x14ac:dyDescent="0.3">
      <c r="D1157" s="3"/>
    </row>
    <row r="1158" spans="4:4" ht="13.5" customHeight="1" x14ac:dyDescent="0.3">
      <c r="D1158" s="3"/>
    </row>
    <row r="1159" spans="4:4" ht="13.5" customHeight="1" x14ac:dyDescent="0.3">
      <c r="D1159" s="3"/>
    </row>
    <row r="1160" spans="4:4" ht="13.5" customHeight="1" x14ac:dyDescent="0.3">
      <c r="D1160" s="3"/>
    </row>
    <row r="1161" spans="4:4" ht="13.5" customHeight="1" x14ac:dyDescent="0.3">
      <c r="D1161" s="3"/>
    </row>
    <row r="1162" spans="4:4" ht="13.5" customHeight="1" x14ac:dyDescent="0.3">
      <c r="D1162" s="3"/>
    </row>
    <row r="1163" spans="4:4" ht="13.5" customHeight="1" x14ac:dyDescent="0.3">
      <c r="D1163" s="3"/>
    </row>
    <row r="1164" spans="4:4" ht="13.5" customHeight="1" x14ac:dyDescent="0.3">
      <c r="D1164" s="3"/>
    </row>
    <row r="1165" spans="4:4" ht="13.5" customHeight="1" x14ac:dyDescent="0.3">
      <c r="D1165" s="3"/>
    </row>
    <row r="1166" spans="4:4" ht="13.5" customHeight="1" x14ac:dyDescent="0.3">
      <c r="D1166" s="3"/>
    </row>
    <row r="1167" spans="4:4" ht="13.5" customHeight="1" x14ac:dyDescent="0.3">
      <c r="D1167" s="3"/>
    </row>
    <row r="1168" spans="4:4" ht="13.5" customHeight="1" x14ac:dyDescent="0.3">
      <c r="D1168" s="3"/>
    </row>
    <row r="1169" spans="4:4" ht="13.5" customHeight="1" x14ac:dyDescent="0.3">
      <c r="D1169" s="3"/>
    </row>
    <row r="1170" spans="4:4" ht="13.5" customHeight="1" x14ac:dyDescent="0.3">
      <c r="D1170" s="3"/>
    </row>
    <row r="1171" spans="4:4" ht="13.5" customHeight="1" x14ac:dyDescent="0.3">
      <c r="D1171" s="3"/>
    </row>
  </sheetData>
  <autoFilter ref="A1:CJ192" xr:uid="{00000000-0001-0000-0000-000000000000}"/>
  <phoneticPr fontId="30" type="noConversion"/>
  <hyperlinks>
    <hyperlink ref="B331" r:id="rId1" display="https://clinicaltrials.gov/study/NCT06134921?a=2" xr:uid="{837E7B8D-33D1-41E0-9360-73E0CF2B6292}"/>
  </hyperlinks>
  <pageMargins left="0.7" right="0.7" top="0.78749999999999998" bottom="0.78749999999999998" header="0" footer="0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I7" sqref="I7"/>
    </sheetView>
  </sheetViews>
  <sheetFormatPr defaultColWidth="12.6640625" defaultRowHeight="15" customHeight="1" x14ac:dyDescent="0.3"/>
  <cols>
    <col min="1" max="1" width="23.6640625" customWidth="1"/>
    <col min="2" max="2" width="3.21875" customWidth="1"/>
    <col min="3" max="3" width="15.33203125" customWidth="1"/>
    <col min="4" max="4" width="7.44140625" customWidth="1"/>
    <col min="5" max="5" width="27" customWidth="1"/>
    <col min="6" max="6" width="3.33203125" customWidth="1"/>
    <col min="7" max="26" width="9.33203125" customWidth="1"/>
  </cols>
  <sheetData>
    <row r="1" spans="1:9" ht="13.5" customHeight="1" x14ac:dyDescent="0.3">
      <c r="A1" s="234" t="s">
        <v>137</v>
      </c>
      <c r="B1" s="235"/>
      <c r="C1" s="236" t="s">
        <v>138</v>
      </c>
      <c r="D1" s="235"/>
      <c r="E1" s="237" t="s">
        <v>139</v>
      </c>
      <c r="F1" s="235"/>
    </row>
    <row r="2" spans="1:9" ht="13.5" customHeight="1" x14ac:dyDescent="0.3">
      <c r="A2" s="9" t="s">
        <v>88</v>
      </c>
      <c r="B2" s="9">
        <f>COUNTIF(included_studies!A2:A117, "=Schizophrenia")</f>
        <v>0</v>
      </c>
      <c r="C2" s="10" t="s">
        <v>99</v>
      </c>
      <c r="D2" s="10">
        <f>COUNTIF(included_studies!A2:A117, "AD")</f>
        <v>116</v>
      </c>
      <c r="E2" s="11" t="s">
        <v>121</v>
      </c>
      <c r="F2" s="11">
        <f>COUNTIF(included_studies!A2:A117, "Stroke")</f>
        <v>0</v>
      </c>
      <c r="I2" t="s">
        <v>293</v>
      </c>
    </row>
    <row r="3" spans="1:9" ht="13.5" customHeight="1" x14ac:dyDescent="0.3">
      <c r="A3" s="9" t="s">
        <v>89</v>
      </c>
      <c r="B3" s="9">
        <f>COUNTIF(included_studies!A2:A117, "=Depression")</f>
        <v>0</v>
      </c>
      <c r="C3" s="10" t="s">
        <v>113</v>
      </c>
      <c r="D3" s="10">
        <f>COUNTIF(included_studies!A2:A117, "PD")</f>
        <v>0</v>
      </c>
      <c r="E3" s="11" t="s">
        <v>122</v>
      </c>
      <c r="F3" s="11">
        <f>COUNTIF(included_studies!A2:A117, "Epilepsy")</f>
        <v>0</v>
      </c>
      <c r="I3" t="s">
        <v>294</v>
      </c>
    </row>
    <row r="4" spans="1:9" ht="13.5" customHeight="1" x14ac:dyDescent="0.3">
      <c r="A4" s="9" t="s">
        <v>90</v>
      </c>
      <c r="B4" s="9">
        <f>COUNTIF(included_studies!A2:A117, "=Insomnia")</f>
        <v>0</v>
      </c>
      <c r="C4" s="10" t="s">
        <v>114</v>
      </c>
      <c r="D4" s="10">
        <f>COUNTIF(included_studies!A2:A117, "MCI")</f>
        <v>0</v>
      </c>
      <c r="E4" s="11" t="s">
        <v>123</v>
      </c>
      <c r="F4" s="11">
        <f>COUNTIF(included_studies!A2:A117, "Mal de Débarquement Syndrome")</f>
        <v>0</v>
      </c>
      <c r="I4" t="s">
        <v>295</v>
      </c>
    </row>
    <row r="5" spans="1:9" ht="13.5" customHeight="1" x14ac:dyDescent="0.3">
      <c r="A5" s="9" t="s">
        <v>91</v>
      </c>
      <c r="B5" s="9">
        <f>COUNTIF(included_studies!A2:A117, "ADHD")</f>
        <v>0</v>
      </c>
      <c r="C5" s="10" t="s">
        <v>115</v>
      </c>
      <c r="D5" s="10">
        <f>COUNTIF(included_studies!A2:A117, "Dementia")</f>
        <v>0</v>
      </c>
      <c r="E5" s="11" t="s">
        <v>124</v>
      </c>
      <c r="F5" s="11">
        <f>COUNTIF(included_studies!A2:A117, "=Chronic Low Back Pain")</f>
        <v>0</v>
      </c>
      <c r="I5" t="s">
        <v>296</v>
      </c>
    </row>
    <row r="6" spans="1:9" ht="13.5" customHeight="1" x14ac:dyDescent="0.3">
      <c r="A6" s="9" t="s">
        <v>92</v>
      </c>
      <c r="B6" s="9">
        <f>COUNTIF(included_studies!A2:A117, "Use Disorder")</f>
        <v>0</v>
      </c>
      <c r="C6" s="10" t="s">
        <v>117</v>
      </c>
      <c r="D6" s="10">
        <f>COUNTIF(included_studies!A2:A117, "MS")</f>
        <v>0</v>
      </c>
      <c r="E6" s="11" t="s">
        <v>125</v>
      </c>
      <c r="F6" s="11">
        <f>COUNTIF(included_studies!A2:A117, "=Tinnitus")</f>
        <v>0</v>
      </c>
      <c r="I6" t="s">
        <v>297</v>
      </c>
    </row>
    <row r="7" spans="1:9" ht="13.5" customHeight="1" x14ac:dyDescent="0.3">
      <c r="A7" s="9" t="s">
        <v>93</v>
      </c>
      <c r="B7" s="9">
        <f>COUNTIF(included_studies!A2:A117, "=Bipolar Disorder")</f>
        <v>0</v>
      </c>
      <c r="C7" s="10" t="s">
        <v>118</v>
      </c>
      <c r="D7" s="10">
        <f>COUNTIF(included_studies!A2:A117, "Huntington’s disease")</f>
        <v>0</v>
      </c>
      <c r="E7" s="11" t="s">
        <v>126</v>
      </c>
      <c r="F7" s="11">
        <f>COUNTIF(included_studies!A2:A117, "Migraine")</f>
        <v>0</v>
      </c>
    </row>
    <row r="8" spans="1:9" ht="13.5" customHeight="1" x14ac:dyDescent="0.3">
      <c r="A8" s="9" t="s">
        <v>94</v>
      </c>
      <c r="B8" s="9">
        <f>COUNTIF(included_studies!A2:A117, "Anxiety")</f>
        <v>0</v>
      </c>
      <c r="C8" s="10" t="s">
        <v>119</v>
      </c>
      <c r="D8" s="10">
        <f>COUNTIF(included_studies!A2:A117, "Glaucoma")</f>
        <v>0</v>
      </c>
      <c r="E8" s="11" t="s">
        <v>127</v>
      </c>
      <c r="F8" s="11">
        <f>COUNTIF(included_studies!A2:A117, "Fibromyalgia")</f>
        <v>0</v>
      </c>
    </row>
    <row r="9" spans="1:9" ht="13.5" customHeight="1" x14ac:dyDescent="0.3">
      <c r="A9" s="9" t="s">
        <v>95</v>
      </c>
      <c r="B9" s="9">
        <f>COUNTIF(included_studies!A2:A117, "Psychosis Spectrum Disorder")</f>
        <v>0</v>
      </c>
      <c r="C9" s="10" t="s">
        <v>116</v>
      </c>
      <c r="D9" s="10">
        <f>COUNTIF(included_studies!A2:A117, "MCI/Dementia")</f>
        <v>0</v>
      </c>
      <c r="E9" s="11" t="s">
        <v>128</v>
      </c>
      <c r="F9" s="11">
        <f>COUNTIF(included_studies!A2:A117, "22q11.2 deletion syndrome")</f>
        <v>0</v>
      </c>
    </row>
    <row r="10" spans="1:9" ht="13.5" customHeight="1" x14ac:dyDescent="0.3">
      <c r="A10" s="9" t="s">
        <v>96</v>
      </c>
      <c r="B10" s="9">
        <f>COUNTIF(included_studies!A2:A117, "Internalizing Psychopathologies")</f>
        <v>0</v>
      </c>
      <c r="C10" s="10" t="s">
        <v>120</v>
      </c>
      <c r="D10" s="10">
        <f>COUNTIF(included_studies!A2:A117, "Lewy Body Dementia")</f>
        <v>0</v>
      </c>
      <c r="E10" s="11" t="s">
        <v>129</v>
      </c>
      <c r="F10" s="11">
        <f>COUNTIF(included_studies!A2:A117, "=Essential Tremor")</f>
        <v>0</v>
      </c>
    </row>
    <row r="11" spans="1:9" ht="13.5" customHeight="1" x14ac:dyDescent="0.3">
      <c r="A11" s="9" t="s">
        <v>97</v>
      </c>
      <c r="B11" s="9">
        <f>COUNTIF(included_studies!A2:A117, "Obsessive Compulsive Disorder")</f>
        <v>0</v>
      </c>
      <c r="E11" s="11" t="s">
        <v>130</v>
      </c>
      <c r="F11" s="11">
        <f>COUNTIF(included_studies!A2:A117, "Dystonic Tremor Syndromes")</f>
        <v>0</v>
      </c>
    </row>
    <row r="12" spans="1:9" ht="13.5" customHeight="1" x14ac:dyDescent="0.3">
      <c r="A12" s="9" t="s">
        <v>98</v>
      </c>
      <c r="B12" s="9">
        <f>COUNTIF(included_studies!A2:A117, "Premenstrual Dysphoric Disorder")</f>
        <v>0</v>
      </c>
      <c r="E12" s="11" t="s">
        <v>131</v>
      </c>
      <c r="F12" s="11">
        <f>COUNTIF(included_studies!A2:A117, "=Spinocerebellar Ataxia")</f>
        <v>0</v>
      </c>
    </row>
    <row r="13" spans="1:9" ht="13.5" customHeight="1" x14ac:dyDescent="0.3">
      <c r="E13" s="11" t="s">
        <v>132</v>
      </c>
      <c r="F13" s="11">
        <f>COUNTIF(included_studies!A2:A117, "Ataxia")</f>
        <v>0</v>
      </c>
    </row>
    <row r="14" spans="1:9" ht="13.5" customHeight="1" x14ac:dyDescent="0.3">
      <c r="E14" s="11" t="s">
        <v>133</v>
      </c>
      <c r="F14" s="11">
        <f>COUNTIF(included_studies!A2:A117, "Persistent post-concussive symptoms")</f>
        <v>0</v>
      </c>
    </row>
    <row r="15" spans="1:9" ht="13.5" customHeight="1" x14ac:dyDescent="0.3">
      <c r="E15" s="11" t="s">
        <v>134</v>
      </c>
      <c r="F15" s="11">
        <f>COUNTIF(included_studies!A2:A117, "Unresponsive wakefulness syndrome")</f>
        <v>0</v>
      </c>
    </row>
    <row r="16" spans="1:9" ht="13.5" customHeight="1" x14ac:dyDescent="0.3">
      <c r="E16" s="11" t="s">
        <v>135</v>
      </c>
      <c r="F16" s="11">
        <f>COUNTIF(included_studies!A2:A117, "Congenital Amusia")</f>
        <v>0</v>
      </c>
    </row>
    <row r="17" spans="5:6" ht="13.5" customHeight="1" x14ac:dyDescent="0.3">
      <c r="E17" s="11" t="s">
        <v>136</v>
      </c>
      <c r="F17" s="11">
        <f>COUNTIF(included_studies!A2:A117, "Postoperative Sleep Disturbance")</f>
        <v>0</v>
      </c>
    </row>
    <row r="18" spans="5:6" ht="13.5" customHeight="1" x14ac:dyDescent="0.3"/>
    <row r="19" spans="5:6" ht="13.5" customHeight="1" x14ac:dyDescent="0.3"/>
    <row r="20" spans="5:6" ht="13.5" customHeight="1" x14ac:dyDescent="0.3"/>
    <row r="21" spans="5:6" ht="13.5" customHeight="1" x14ac:dyDescent="0.3"/>
    <row r="22" spans="5:6" ht="13.5" customHeight="1" x14ac:dyDescent="0.3"/>
    <row r="23" spans="5:6" ht="13.5" customHeight="1" x14ac:dyDescent="0.3"/>
    <row r="24" spans="5:6" ht="13.5" customHeight="1" x14ac:dyDescent="0.3"/>
    <row r="25" spans="5:6" ht="13.5" customHeight="1" x14ac:dyDescent="0.3"/>
    <row r="26" spans="5:6" ht="13.5" customHeight="1" x14ac:dyDescent="0.3"/>
    <row r="27" spans="5:6" ht="13.5" customHeight="1" x14ac:dyDescent="0.3"/>
    <row r="28" spans="5:6" ht="13.5" customHeight="1" x14ac:dyDescent="0.3"/>
    <row r="29" spans="5:6" ht="13.5" customHeight="1" x14ac:dyDescent="0.3"/>
    <row r="30" spans="5:6" ht="13.5" customHeight="1" x14ac:dyDescent="0.3"/>
    <row r="31" spans="5:6" ht="13.5" customHeight="1" x14ac:dyDescent="0.3"/>
    <row r="32" spans="5:6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3">
    <mergeCell ref="A1:B1"/>
    <mergeCell ref="C1:D1"/>
    <mergeCell ref="E1:F1"/>
  </mergeCells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9CBC-904B-48AE-9CBD-375DC4A9B9F8}">
  <dimension ref="A1:BD48"/>
  <sheetViews>
    <sheetView zoomScale="106" zoomScaleNormal="81"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width="14.5546875" customWidth="1"/>
    <col min="2" max="2" width="14.88671875" customWidth="1"/>
    <col min="3" max="3" width="28.88671875" customWidth="1"/>
    <col min="4" max="4" width="22" customWidth="1"/>
    <col min="8" max="8" width="17.5546875" customWidth="1"/>
    <col min="9" max="9" width="5.88671875" customWidth="1"/>
    <col min="10" max="10" width="5.6640625" customWidth="1"/>
    <col min="11" max="11" width="5.21875" customWidth="1"/>
    <col min="12" max="12" width="4.21875" customWidth="1"/>
    <col min="14" max="14" width="5.33203125" customWidth="1"/>
    <col min="15" max="15" width="6.77734375" customWidth="1"/>
    <col min="16" max="16" width="4.5546875" customWidth="1"/>
    <col min="17" max="17" width="8.109375" customWidth="1"/>
    <col min="18" max="18" width="4.6640625" customWidth="1"/>
    <col min="19" max="19" width="7.33203125" customWidth="1"/>
    <col min="20" max="20" width="5.109375" customWidth="1"/>
    <col min="21" max="21" width="5.6640625" customWidth="1"/>
    <col min="22" max="22" width="4.21875" customWidth="1"/>
    <col min="23" max="23" width="5" customWidth="1"/>
    <col min="24" max="24" width="7.109375" customWidth="1"/>
    <col min="25" max="25" width="6.33203125" customWidth="1"/>
    <col min="26" max="26" width="4.88671875" customWidth="1"/>
    <col min="27" max="27" width="5" customWidth="1"/>
    <col min="28" max="28" width="5.33203125" customWidth="1"/>
    <col min="29" max="29" width="5.21875" customWidth="1"/>
    <col min="31" max="32" width="5.33203125" customWidth="1"/>
    <col min="33" max="33" width="6.109375" customWidth="1"/>
    <col min="34" max="34" width="7" customWidth="1"/>
    <col min="35" max="35" width="5.44140625" customWidth="1"/>
    <col min="36" max="36" width="5.6640625" customWidth="1"/>
    <col min="37" max="37" width="5.77734375" customWidth="1"/>
    <col min="38" max="38" width="7.5546875" customWidth="1"/>
    <col min="39" max="39" width="5.77734375" customWidth="1"/>
    <col min="40" max="40" width="6.21875" customWidth="1"/>
    <col min="41" max="41" width="5.44140625" customWidth="1"/>
    <col min="42" max="42" width="5.21875" customWidth="1"/>
    <col min="43" max="43" width="5.44140625" customWidth="1"/>
    <col min="44" max="44" width="6.109375" customWidth="1"/>
    <col min="45" max="45" width="3.88671875" customWidth="1"/>
    <col min="46" max="46" width="4.109375" customWidth="1"/>
    <col min="47" max="47" width="5.21875" customWidth="1"/>
    <col min="48" max="48" width="4.33203125" customWidth="1"/>
    <col min="49" max="49" width="4.44140625" customWidth="1"/>
    <col min="50" max="50" width="5.44140625" customWidth="1"/>
    <col min="51" max="51" width="5.109375" customWidth="1"/>
    <col min="52" max="52" width="5.21875" customWidth="1"/>
    <col min="53" max="53" width="5.77734375" customWidth="1"/>
    <col min="54" max="54" width="6.6640625" customWidth="1"/>
    <col min="55" max="55" width="5.109375" customWidth="1"/>
  </cols>
  <sheetData>
    <row r="1" spans="1:56" ht="28.2" customHeight="1" x14ac:dyDescent="0.3">
      <c r="A1" s="136" t="s">
        <v>58</v>
      </c>
      <c r="B1" s="136" t="s">
        <v>731</v>
      </c>
      <c r="C1" s="136" t="s">
        <v>656</v>
      </c>
      <c r="D1" s="136" t="s">
        <v>657</v>
      </c>
      <c r="H1" s="137" t="s">
        <v>731</v>
      </c>
      <c r="I1" s="138" t="s">
        <v>293</v>
      </c>
      <c r="J1" s="138" t="s">
        <v>296</v>
      </c>
      <c r="K1" s="138" t="s">
        <v>524</v>
      </c>
      <c r="L1" s="138" t="s">
        <v>525</v>
      </c>
      <c r="M1" s="139" t="s">
        <v>526</v>
      </c>
      <c r="N1" s="138" t="s">
        <v>647</v>
      </c>
      <c r="O1" s="138" t="s">
        <v>648</v>
      </c>
      <c r="P1" s="138" t="s">
        <v>649</v>
      </c>
      <c r="Q1" s="138" t="s">
        <v>622</v>
      </c>
      <c r="R1" s="138" t="s">
        <v>619</v>
      </c>
      <c r="S1" s="138" t="s">
        <v>620</v>
      </c>
      <c r="T1" s="138" t="s">
        <v>621</v>
      </c>
      <c r="U1" s="138" t="s">
        <v>652</v>
      </c>
      <c r="V1" s="138" t="s">
        <v>651</v>
      </c>
      <c r="W1" s="138" t="s">
        <v>653</v>
      </c>
      <c r="X1" s="138" t="s">
        <v>752</v>
      </c>
      <c r="Y1" s="138" t="s">
        <v>595</v>
      </c>
      <c r="Z1" s="138" t="s">
        <v>596</v>
      </c>
      <c r="AA1" s="138" t="s">
        <v>597</v>
      </c>
      <c r="AB1" s="138" t="s">
        <v>613</v>
      </c>
      <c r="AC1" s="138" t="s">
        <v>614</v>
      </c>
      <c r="AD1" s="138" t="s">
        <v>646</v>
      </c>
      <c r="AE1" s="138" t="s">
        <v>598</v>
      </c>
      <c r="AF1" s="138" t="s">
        <v>599</v>
      </c>
      <c r="AG1" s="138" t="s">
        <v>506</v>
      </c>
      <c r="AH1" s="139" t="s">
        <v>600</v>
      </c>
      <c r="AI1" s="138" t="s">
        <v>753</v>
      </c>
      <c r="AJ1" s="138" t="s">
        <v>602</v>
      </c>
      <c r="AK1" s="139" t="s">
        <v>603</v>
      </c>
      <c r="AL1" s="139" t="s">
        <v>615</v>
      </c>
      <c r="AM1" s="139" t="s">
        <v>616</v>
      </c>
      <c r="AN1" s="139" t="s">
        <v>617</v>
      </c>
      <c r="AO1" s="139" t="s">
        <v>652</v>
      </c>
      <c r="AP1" s="139" t="s">
        <v>650</v>
      </c>
      <c r="AQ1" s="139" t="s">
        <v>755</v>
      </c>
      <c r="AR1" s="139" t="s">
        <v>756</v>
      </c>
      <c r="AS1" s="139" t="s">
        <v>606</v>
      </c>
      <c r="AT1" s="139" t="s">
        <v>607</v>
      </c>
      <c r="AU1" s="139" t="s">
        <v>608</v>
      </c>
      <c r="AV1" s="139" t="s">
        <v>609</v>
      </c>
      <c r="AW1" s="139" t="s">
        <v>610</v>
      </c>
      <c r="AX1" s="139" t="s">
        <v>611</v>
      </c>
      <c r="AY1" s="139" t="s">
        <v>612</v>
      </c>
      <c r="AZ1" s="139" t="s">
        <v>645</v>
      </c>
      <c r="BA1" s="139" t="s">
        <v>618</v>
      </c>
      <c r="BB1" s="139" t="s">
        <v>644</v>
      </c>
      <c r="BC1" s="139" t="s">
        <v>655</v>
      </c>
    </row>
    <row r="2" spans="1:56" ht="43.2" x14ac:dyDescent="0.3">
      <c r="A2" s="135" t="s">
        <v>293</v>
      </c>
      <c r="B2" s="130" t="s">
        <v>658</v>
      </c>
      <c r="C2" s="130" t="s">
        <v>730</v>
      </c>
      <c r="D2" s="130" t="s">
        <v>659</v>
      </c>
      <c r="H2" s="109" t="s">
        <v>523</v>
      </c>
      <c r="I2" s="110">
        <v>1</v>
      </c>
      <c r="J2" s="110">
        <v>1</v>
      </c>
      <c r="K2" s="110"/>
      <c r="L2" s="110"/>
      <c r="M2" s="110">
        <v>1</v>
      </c>
      <c r="N2" s="110">
        <v>1</v>
      </c>
      <c r="O2" s="110">
        <v>1</v>
      </c>
      <c r="P2" s="110">
        <v>1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D2" s="141">
        <f>SUM(I2:BC2)</f>
        <v>6</v>
      </c>
    </row>
    <row r="3" spans="1:56" ht="43.2" x14ac:dyDescent="0.3">
      <c r="A3" s="135" t="s">
        <v>296</v>
      </c>
      <c r="B3" s="130" t="s">
        <v>658</v>
      </c>
      <c r="C3" s="130" t="s">
        <v>732</v>
      </c>
      <c r="D3" s="130" t="s">
        <v>659</v>
      </c>
      <c r="H3" s="109" t="s">
        <v>740</v>
      </c>
      <c r="I3" s="110">
        <v>1</v>
      </c>
      <c r="J3" s="110">
        <v>1</v>
      </c>
      <c r="K3" s="110"/>
      <c r="L3" s="110">
        <v>1</v>
      </c>
      <c r="M3" s="110"/>
      <c r="N3" s="110">
        <v>1</v>
      </c>
      <c r="O3" s="110"/>
      <c r="P3" s="110">
        <v>1</v>
      </c>
      <c r="Q3" s="110"/>
      <c r="R3" s="110">
        <v>1</v>
      </c>
      <c r="S3" s="110">
        <v>1</v>
      </c>
      <c r="T3" s="110">
        <v>1</v>
      </c>
      <c r="U3" s="110">
        <v>1</v>
      </c>
      <c r="V3" s="110">
        <v>1</v>
      </c>
      <c r="W3" s="110">
        <v>1</v>
      </c>
      <c r="X3" s="110">
        <v>1</v>
      </c>
      <c r="Y3" s="110"/>
      <c r="Z3" s="110"/>
      <c r="AA3" s="110">
        <v>1</v>
      </c>
      <c r="AB3" s="110"/>
      <c r="AC3" s="110"/>
      <c r="AD3" s="110">
        <v>1</v>
      </c>
      <c r="AE3" s="110"/>
      <c r="AF3" s="110"/>
      <c r="AG3" s="110"/>
      <c r="AH3" s="110"/>
      <c r="AI3" s="110">
        <v>1</v>
      </c>
      <c r="AJ3" s="110"/>
      <c r="AK3" s="110"/>
      <c r="AL3" s="110"/>
      <c r="AM3" s="110"/>
      <c r="AN3" s="110"/>
      <c r="AO3" s="110">
        <v>1</v>
      </c>
      <c r="AP3" s="110"/>
      <c r="AQ3" s="110"/>
      <c r="AR3" s="110">
        <v>1</v>
      </c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D3" s="141">
        <f t="shared" ref="BD3:BD24" si="0">SUM(I3:BC3)</f>
        <v>17</v>
      </c>
    </row>
    <row r="4" spans="1:56" ht="43.2" x14ac:dyDescent="0.3">
      <c r="A4" s="135" t="s">
        <v>524</v>
      </c>
      <c r="B4" s="130" t="s">
        <v>660</v>
      </c>
      <c r="C4" s="130" t="s">
        <v>734</v>
      </c>
      <c r="D4" s="130" t="s">
        <v>659</v>
      </c>
      <c r="H4" s="109" t="s">
        <v>660</v>
      </c>
      <c r="I4" s="110"/>
      <c r="J4" s="110"/>
      <c r="K4" s="110">
        <v>1</v>
      </c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D4" s="141">
        <f t="shared" si="0"/>
        <v>1</v>
      </c>
    </row>
    <row r="5" spans="1:56" ht="28.8" x14ac:dyDescent="0.3">
      <c r="A5" s="135" t="s">
        <v>525</v>
      </c>
      <c r="B5" s="130" t="s">
        <v>661</v>
      </c>
      <c r="C5" s="130" t="s">
        <v>662</v>
      </c>
      <c r="D5" s="130" t="s">
        <v>659</v>
      </c>
      <c r="H5" s="109" t="s">
        <v>741</v>
      </c>
      <c r="I5" s="110"/>
      <c r="J5" s="110">
        <v>1</v>
      </c>
      <c r="K5" s="110"/>
      <c r="L5" s="110"/>
      <c r="M5" s="110"/>
      <c r="N5" s="110"/>
      <c r="O5" s="110">
        <v>1</v>
      </c>
      <c r="P5" s="110"/>
      <c r="Q5" s="110"/>
      <c r="R5" s="110">
        <v>1</v>
      </c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>
        <v>1</v>
      </c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D5" s="141">
        <f t="shared" si="0"/>
        <v>4</v>
      </c>
    </row>
    <row r="6" spans="1:56" ht="28.8" x14ac:dyDescent="0.3">
      <c r="A6" s="135" t="s">
        <v>526</v>
      </c>
      <c r="B6" s="130" t="s">
        <v>658</v>
      </c>
      <c r="C6" s="130" t="s">
        <v>733</v>
      </c>
      <c r="D6" s="130" t="s">
        <v>659</v>
      </c>
      <c r="H6" s="109" t="s">
        <v>680</v>
      </c>
      <c r="I6" s="110">
        <v>1</v>
      </c>
      <c r="J6" s="110">
        <v>1</v>
      </c>
      <c r="K6" s="110"/>
      <c r="L6" s="110"/>
      <c r="M6" s="110">
        <v>1</v>
      </c>
      <c r="N6" s="110"/>
      <c r="O6" s="110">
        <v>1</v>
      </c>
      <c r="P6" s="110"/>
      <c r="Q6" s="110"/>
      <c r="R6" s="110"/>
      <c r="S6" s="110"/>
      <c r="T6" s="110">
        <v>1</v>
      </c>
      <c r="U6" s="110">
        <v>1</v>
      </c>
      <c r="V6" s="110">
        <v>1</v>
      </c>
      <c r="W6" s="110">
        <v>1</v>
      </c>
      <c r="X6" s="110"/>
      <c r="Y6" s="110"/>
      <c r="Z6" s="110">
        <v>1</v>
      </c>
      <c r="AA6" s="110">
        <v>1</v>
      </c>
      <c r="AB6" s="110"/>
      <c r="AC6" s="110"/>
      <c r="AD6" s="110"/>
      <c r="AE6" s="110"/>
      <c r="AF6" s="110"/>
      <c r="AG6" s="110"/>
      <c r="AH6" s="110"/>
      <c r="AI6" s="110"/>
      <c r="AJ6" s="110">
        <v>1</v>
      </c>
      <c r="AK6" s="110"/>
      <c r="AL6" s="110"/>
      <c r="AM6" s="110"/>
      <c r="AN6" s="110"/>
      <c r="AO6" s="110">
        <v>1</v>
      </c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D6" s="141">
        <f t="shared" si="0"/>
        <v>12</v>
      </c>
    </row>
    <row r="7" spans="1:56" ht="28.8" x14ac:dyDescent="0.3">
      <c r="A7" s="135" t="s">
        <v>647</v>
      </c>
      <c r="B7" s="130" t="s">
        <v>658</v>
      </c>
      <c r="C7" s="130" t="s">
        <v>735</v>
      </c>
      <c r="D7" s="130" t="s">
        <v>659</v>
      </c>
      <c r="H7" s="109" t="s">
        <v>580</v>
      </c>
      <c r="I7" s="110"/>
      <c r="J7" s="110">
        <v>1</v>
      </c>
      <c r="K7" s="110"/>
      <c r="L7" s="110"/>
      <c r="M7" s="110">
        <v>1</v>
      </c>
      <c r="N7" s="110">
        <v>1</v>
      </c>
      <c r="O7" s="110">
        <v>1</v>
      </c>
      <c r="P7" s="110">
        <v>1</v>
      </c>
      <c r="Q7" s="110">
        <v>1</v>
      </c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>
        <v>1</v>
      </c>
      <c r="AG7" s="110"/>
      <c r="AH7" s="110"/>
      <c r="AI7" s="110"/>
      <c r="AJ7" s="110"/>
      <c r="AK7" s="110">
        <v>1</v>
      </c>
      <c r="AL7" s="110">
        <v>1</v>
      </c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D7" s="141">
        <f t="shared" si="0"/>
        <v>9</v>
      </c>
    </row>
    <row r="8" spans="1:56" ht="28.8" x14ac:dyDescent="0.3">
      <c r="A8" s="135" t="s">
        <v>648</v>
      </c>
      <c r="B8" s="130" t="s">
        <v>658</v>
      </c>
      <c r="C8" s="130" t="s">
        <v>736</v>
      </c>
      <c r="D8" s="130" t="s">
        <v>659</v>
      </c>
      <c r="H8" s="109" t="s">
        <v>266</v>
      </c>
      <c r="I8" s="110">
        <v>1</v>
      </c>
      <c r="J8" s="110"/>
      <c r="K8" s="110">
        <v>1</v>
      </c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>
        <v>1</v>
      </c>
      <c r="Z8" s="110"/>
      <c r="AA8" s="110"/>
      <c r="AB8" s="110">
        <v>1</v>
      </c>
      <c r="AC8" s="110">
        <v>1</v>
      </c>
      <c r="AD8" s="110">
        <v>1</v>
      </c>
      <c r="AE8" s="110"/>
      <c r="AF8" s="110"/>
      <c r="AG8" s="110"/>
      <c r="AH8" s="110"/>
      <c r="AI8" s="110"/>
      <c r="AJ8" s="110"/>
      <c r="AK8" s="110"/>
      <c r="AL8" s="110">
        <v>1</v>
      </c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>
        <v>1</v>
      </c>
      <c r="BA8" s="110"/>
      <c r="BB8" s="110">
        <v>1</v>
      </c>
      <c r="BD8" s="141">
        <f t="shared" si="0"/>
        <v>9</v>
      </c>
    </row>
    <row r="9" spans="1:56" ht="28.8" x14ac:dyDescent="0.3">
      <c r="A9" s="135" t="s">
        <v>649</v>
      </c>
      <c r="B9" s="130" t="s">
        <v>658</v>
      </c>
      <c r="C9" s="130" t="s">
        <v>735</v>
      </c>
      <c r="D9" s="130" t="s">
        <v>659</v>
      </c>
      <c r="H9" s="109" t="s">
        <v>549</v>
      </c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>
        <v>1</v>
      </c>
      <c r="AF9" s="110"/>
      <c r="AG9" s="110">
        <v>1</v>
      </c>
      <c r="AH9" s="110"/>
      <c r="AI9" s="110"/>
      <c r="AJ9" s="110"/>
      <c r="AK9" s="110"/>
      <c r="AL9" s="110">
        <v>1</v>
      </c>
      <c r="AM9" s="110">
        <v>1</v>
      </c>
      <c r="AN9" s="110">
        <v>1</v>
      </c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D9" s="141">
        <f t="shared" si="0"/>
        <v>5</v>
      </c>
    </row>
    <row r="10" spans="1:56" ht="28.8" x14ac:dyDescent="0.3">
      <c r="A10" s="135" t="s">
        <v>622</v>
      </c>
      <c r="B10" s="130" t="s">
        <v>663</v>
      </c>
      <c r="C10" s="130" t="s">
        <v>737</v>
      </c>
      <c r="D10" s="130" t="s">
        <v>659</v>
      </c>
      <c r="H10" s="109" t="s">
        <v>742</v>
      </c>
      <c r="I10" s="110">
        <v>1</v>
      </c>
      <c r="J10" s="110"/>
      <c r="K10" s="110"/>
      <c r="L10" s="110"/>
      <c r="M10" s="110"/>
      <c r="N10" s="110">
        <v>1</v>
      </c>
      <c r="O10" s="110">
        <v>1</v>
      </c>
      <c r="P10" s="110">
        <v>1</v>
      </c>
      <c r="Q10" s="110">
        <v>1</v>
      </c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>
        <v>1</v>
      </c>
      <c r="AD10" s="110">
        <v>1</v>
      </c>
      <c r="AE10" s="110"/>
      <c r="AF10" s="110"/>
      <c r="AG10" s="110"/>
      <c r="AH10" s="110"/>
      <c r="AI10" s="110">
        <v>1</v>
      </c>
      <c r="AJ10" s="110"/>
      <c r="AK10" s="110"/>
      <c r="AL10" s="110"/>
      <c r="AM10" s="110"/>
      <c r="AN10" s="110"/>
      <c r="AO10" s="110"/>
      <c r="AP10" s="110">
        <v>1</v>
      </c>
      <c r="AQ10" s="110">
        <v>1</v>
      </c>
      <c r="AR10" s="110"/>
      <c r="AS10" s="110">
        <v>1</v>
      </c>
      <c r="AT10" s="110">
        <v>1</v>
      </c>
      <c r="AU10" s="110"/>
      <c r="AV10" s="110"/>
      <c r="AW10" s="110"/>
      <c r="AX10" s="110"/>
      <c r="AY10" s="110"/>
      <c r="AZ10" s="110"/>
      <c r="BA10" s="110">
        <v>1</v>
      </c>
      <c r="BB10" s="110">
        <v>1</v>
      </c>
      <c r="BC10">
        <v>1</v>
      </c>
      <c r="BD10" s="141">
        <f t="shared" si="0"/>
        <v>15</v>
      </c>
    </row>
    <row r="11" spans="1:56" ht="28.8" x14ac:dyDescent="0.3">
      <c r="A11" s="135" t="s">
        <v>619</v>
      </c>
      <c r="B11" s="130" t="s">
        <v>664</v>
      </c>
      <c r="C11" s="130" t="s">
        <v>665</v>
      </c>
      <c r="D11" s="130" t="s">
        <v>659</v>
      </c>
      <c r="H11" s="109" t="s">
        <v>743</v>
      </c>
      <c r="I11" s="110"/>
      <c r="J11" s="110"/>
      <c r="K11" s="110">
        <v>1</v>
      </c>
      <c r="L11" s="110"/>
      <c r="M11" s="110"/>
      <c r="N11" s="110"/>
      <c r="O11" s="110"/>
      <c r="P11" s="110"/>
      <c r="Q11" s="110">
        <v>1</v>
      </c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>
        <v>1</v>
      </c>
      <c r="AQ11" s="110">
        <v>1</v>
      </c>
      <c r="AR11" s="110"/>
      <c r="AS11" s="110"/>
      <c r="AT11" s="110"/>
      <c r="AU11" s="110"/>
      <c r="AV11" s="110"/>
      <c r="AW11" s="110"/>
      <c r="AX11" s="110"/>
      <c r="AY11" s="110"/>
      <c r="AZ11" s="110"/>
      <c r="BA11" s="110">
        <v>1</v>
      </c>
      <c r="BB11" s="110"/>
      <c r="BD11" s="141">
        <f t="shared" si="0"/>
        <v>5</v>
      </c>
    </row>
    <row r="12" spans="1:56" x14ac:dyDescent="0.3">
      <c r="A12" s="135" t="s">
        <v>620</v>
      </c>
      <c r="B12" s="130" t="s">
        <v>666</v>
      </c>
      <c r="C12" s="130" t="s">
        <v>667</v>
      </c>
      <c r="D12" s="130" t="s">
        <v>668</v>
      </c>
      <c r="H12" s="109" t="s">
        <v>744</v>
      </c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>
        <v>1</v>
      </c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D12" s="141">
        <f t="shared" si="0"/>
        <v>1</v>
      </c>
    </row>
    <row r="13" spans="1:56" x14ac:dyDescent="0.3">
      <c r="A13" s="135" t="s">
        <v>621</v>
      </c>
      <c r="B13" s="130" t="s">
        <v>669</v>
      </c>
      <c r="C13" s="130" t="s">
        <v>670</v>
      </c>
      <c r="D13" s="130" t="s">
        <v>659</v>
      </c>
      <c r="H13" s="109" t="s">
        <v>746</v>
      </c>
      <c r="I13" s="110">
        <v>1</v>
      </c>
      <c r="J13" s="110">
        <v>1</v>
      </c>
      <c r="K13" s="110"/>
      <c r="L13" s="110"/>
      <c r="M13" s="110">
        <v>1</v>
      </c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D13" s="141">
        <f t="shared" si="0"/>
        <v>3</v>
      </c>
    </row>
    <row r="14" spans="1:56" ht="28.8" x14ac:dyDescent="0.3">
      <c r="A14" s="135" t="s">
        <v>671</v>
      </c>
      <c r="B14" s="130" t="s">
        <v>672</v>
      </c>
      <c r="C14" s="130" t="s">
        <v>673</v>
      </c>
      <c r="D14" s="130" t="s">
        <v>659</v>
      </c>
      <c r="H14" s="109" t="s">
        <v>745</v>
      </c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>
        <v>1</v>
      </c>
      <c r="AV14" s="110"/>
      <c r="AW14" s="110"/>
      <c r="AX14" s="110">
        <v>1</v>
      </c>
      <c r="AY14" s="110"/>
      <c r="AZ14" s="110"/>
      <c r="BA14" s="110"/>
      <c r="BB14" s="110"/>
      <c r="BD14" s="141">
        <f t="shared" si="0"/>
        <v>2</v>
      </c>
    </row>
    <row r="15" spans="1:56" ht="28.8" x14ac:dyDescent="0.3">
      <c r="A15" s="135" t="s">
        <v>651</v>
      </c>
      <c r="B15" s="130" t="s">
        <v>672</v>
      </c>
      <c r="C15" s="130" t="s">
        <v>674</v>
      </c>
      <c r="D15" s="130" t="s">
        <v>659</v>
      </c>
      <c r="H15" s="109" t="s">
        <v>744</v>
      </c>
      <c r="I15" s="110"/>
      <c r="J15" s="110"/>
      <c r="K15" s="110"/>
      <c r="L15" s="110">
        <v>1</v>
      </c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>
        <v>1</v>
      </c>
      <c r="AT15" s="110">
        <v>1</v>
      </c>
      <c r="AU15" s="110"/>
      <c r="AV15" s="110"/>
      <c r="AW15" s="110"/>
      <c r="AX15" s="110"/>
      <c r="AY15" s="110"/>
      <c r="AZ15" s="110"/>
      <c r="BA15" s="110"/>
      <c r="BB15" s="110"/>
      <c r="BD15" s="141">
        <f t="shared" si="0"/>
        <v>3</v>
      </c>
    </row>
    <row r="16" spans="1:56" ht="28.8" x14ac:dyDescent="0.3">
      <c r="A16" s="135" t="s">
        <v>653</v>
      </c>
      <c r="B16" s="130" t="s">
        <v>672</v>
      </c>
      <c r="C16" s="130" t="s">
        <v>675</v>
      </c>
      <c r="D16" s="130" t="s">
        <v>659</v>
      </c>
      <c r="H16" s="109" t="s">
        <v>747</v>
      </c>
      <c r="I16" s="110"/>
      <c r="J16" s="110"/>
      <c r="K16" s="110">
        <v>1</v>
      </c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D16" s="141">
        <f t="shared" si="0"/>
        <v>1</v>
      </c>
    </row>
    <row r="17" spans="1:56" ht="28.8" x14ac:dyDescent="0.3">
      <c r="A17" s="135" t="s">
        <v>654</v>
      </c>
      <c r="B17" s="130" t="s">
        <v>666</v>
      </c>
      <c r="C17" s="130" t="s">
        <v>676</v>
      </c>
      <c r="D17" s="130" t="s">
        <v>677</v>
      </c>
      <c r="H17" s="109" t="s">
        <v>748</v>
      </c>
      <c r="I17" s="110"/>
      <c r="J17" s="110"/>
      <c r="K17" s="110">
        <v>1</v>
      </c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D17" s="141">
        <f t="shared" si="0"/>
        <v>1</v>
      </c>
    </row>
    <row r="18" spans="1:56" ht="28.8" x14ac:dyDescent="0.3">
      <c r="A18" s="135" t="s">
        <v>750</v>
      </c>
      <c r="B18" s="130" t="s">
        <v>678</v>
      </c>
      <c r="C18" s="130" t="s">
        <v>679</v>
      </c>
      <c r="D18" s="130" t="s">
        <v>677</v>
      </c>
      <c r="H18" s="109" t="s">
        <v>749</v>
      </c>
      <c r="I18" s="110"/>
      <c r="J18" s="110"/>
      <c r="K18" s="110"/>
      <c r="L18" s="110">
        <v>1</v>
      </c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D18" s="141">
        <f t="shared" si="0"/>
        <v>1</v>
      </c>
    </row>
    <row r="19" spans="1:56" x14ac:dyDescent="0.3">
      <c r="A19" s="135" t="s">
        <v>596</v>
      </c>
      <c r="B19" s="130" t="s">
        <v>680</v>
      </c>
      <c r="C19" s="130" t="s">
        <v>681</v>
      </c>
      <c r="D19" s="130" t="s">
        <v>659</v>
      </c>
      <c r="H19" s="109" t="s">
        <v>701</v>
      </c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>
        <v>1</v>
      </c>
      <c r="V19" s="110">
        <v>1</v>
      </c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>
        <v>1</v>
      </c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D19" s="141">
        <f t="shared" si="0"/>
        <v>3</v>
      </c>
    </row>
    <row r="20" spans="1:56" ht="28.8" x14ac:dyDescent="0.3">
      <c r="A20" s="135" t="s">
        <v>597</v>
      </c>
      <c r="B20" s="130" t="s">
        <v>672</v>
      </c>
      <c r="C20" s="130" t="s">
        <v>682</v>
      </c>
      <c r="D20" s="130" t="s">
        <v>659</v>
      </c>
      <c r="H20" s="109" t="s">
        <v>675</v>
      </c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>
        <v>1</v>
      </c>
      <c r="X20" s="110"/>
      <c r="Y20" s="110"/>
      <c r="Z20" s="110"/>
      <c r="AA20" s="110">
        <v>1</v>
      </c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D20" s="141">
        <f t="shared" si="0"/>
        <v>2</v>
      </c>
    </row>
    <row r="21" spans="1:56" ht="28.8" x14ac:dyDescent="0.3">
      <c r="A21" s="135" t="s">
        <v>683</v>
      </c>
      <c r="B21" s="130" t="s">
        <v>678</v>
      </c>
      <c r="C21" s="130" t="s">
        <v>684</v>
      </c>
      <c r="D21" s="130" t="s">
        <v>659</v>
      </c>
      <c r="H21" s="109" t="s">
        <v>751</v>
      </c>
      <c r="I21" s="110"/>
      <c r="J21" s="110"/>
      <c r="K21" s="110"/>
      <c r="L21" s="110"/>
      <c r="M21" s="110"/>
      <c r="N21" s="110"/>
      <c r="O21" s="110"/>
      <c r="P21" s="110"/>
      <c r="Q21" s="110"/>
      <c r="R21" s="110">
        <v>1</v>
      </c>
      <c r="S21" s="110">
        <v>1</v>
      </c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D21" s="141">
        <f t="shared" si="0"/>
        <v>2</v>
      </c>
    </row>
    <row r="22" spans="1:56" ht="28.8" x14ac:dyDescent="0.3">
      <c r="A22" s="135" t="s">
        <v>695</v>
      </c>
      <c r="B22" s="130" t="s">
        <v>696</v>
      </c>
      <c r="C22" s="130" t="s">
        <v>697</v>
      </c>
      <c r="D22" s="130" t="s">
        <v>659</v>
      </c>
      <c r="H22" s="109" t="s">
        <v>706</v>
      </c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>
        <v>1</v>
      </c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D22" s="141">
        <f t="shared" si="0"/>
        <v>1</v>
      </c>
    </row>
    <row r="23" spans="1:56" ht="57.6" x14ac:dyDescent="0.3">
      <c r="A23" s="135" t="s">
        <v>646</v>
      </c>
      <c r="B23" s="130" t="s">
        <v>678</v>
      </c>
      <c r="C23" s="130" t="s">
        <v>739</v>
      </c>
      <c r="D23" s="130" t="s">
        <v>659</v>
      </c>
      <c r="H23" s="109" t="s">
        <v>754</v>
      </c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>
        <v>1</v>
      </c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D23" s="141">
        <f t="shared" si="0"/>
        <v>1</v>
      </c>
    </row>
    <row r="24" spans="1:56" x14ac:dyDescent="0.3">
      <c r="A24" s="135" t="s">
        <v>598</v>
      </c>
      <c r="B24" s="130" t="s">
        <v>685</v>
      </c>
      <c r="C24" s="130" t="s">
        <v>686</v>
      </c>
      <c r="D24" s="130" t="s">
        <v>659</v>
      </c>
      <c r="H24" s="109" t="s">
        <v>717</v>
      </c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>
        <v>1</v>
      </c>
      <c r="AV24" s="110">
        <v>1</v>
      </c>
      <c r="AW24" s="110">
        <v>1</v>
      </c>
      <c r="AX24" s="110">
        <v>1</v>
      </c>
      <c r="AY24" s="110">
        <v>1</v>
      </c>
      <c r="AZ24" s="110"/>
      <c r="BA24" s="110"/>
      <c r="BB24" s="110"/>
      <c r="BD24" s="141">
        <f t="shared" si="0"/>
        <v>5</v>
      </c>
    </row>
    <row r="25" spans="1:56" ht="28.8" x14ac:dyDescent="0.3">
      <c r="A25" s="135" t="s">
        <v>599</v>
      </c>
      <c r="B25" s="130" t="s">
        <v>687</v>
      </c>
      <c r="C25" s="130" t="s">
        <v>738</v>
      </c>
      <c r="D25" s="130" t="s">
        <v>659</v>
      </c>
      <c r="H25" s="140" t="s">
        <v>757</v>
      </c>
      <c r="I25" s="140">
        <f>SUM(I2:I24)</f>
        <v>6</v>
      </c>
      <c r="J25" s="140">
        <f t="shared" ref="J25:BC25" si="1">SUM(J2:J24)</f>
        <v>6</v>
      </c>
      <c r="K25" s="140">
        <f t="shared" si="1"/>
        <v>5</v>
      </c>
      <c r="L25" s="140">
        <f t="shared" si="1"/>
        <v>3</v>
      </c>
      <c r="M25" s="140">
        <f t="shared" si="1"/>
        <v>4</v>
      </c>
      <c r="N25" s="140">
        <f t="shared" si="1"/>
        <v>4</v>
      </c>
      <c r="O25" s="140">
        <f t="shared" si="1"/>
        <v>5</v>
      </c>
      <c r="P25" s="140">
        <f t="shared" si="1"/>
        <v>4</v>
      </c>
      <c r="Q25" s="140">
        <f t="shared" si="1"/>
        <v>3</v>
      </c>
      <c r="R25" s="140">
        <f t="shared" si="1"/>
        <v>3</v>
      </c>
      <c r="S25" s="140">
        <f t="shared" si="1"/>
        <v>2</v>
      </c>
      <c r="T25" s="140">
        <f t="shared" si="1"/>
        <v>2</v>
      </c>
      <c r="U25" s="140">
        <f t="shared" si="1"/>
        <v>3</v>
      </c>
      <c r="V25" s="140">
        <f t="shared" si="1"/>
        <v>3</v>
      </c>
      <c r="W25" s="140">
        <f t="shared" si="1"/>
        <v>3</v>
      </c>
      <c r="X25" s="140">
        <f t="shared" si="1"/>
        <v>2</v>
      </c>
      <c r="Y25" s="140">
        <f t="shared" si="1"/>
        <v>1</v>
      </c>
      <c r="Z25" s="140">
        <f t="shared" si="1"/>
        <v>1</v>
      </c>
      <c r="AA25" s="140">
        <f t="shared" si="1"/>
        <v>3</v>
      </c>
      <c r="AB25" s="140">
        <f t="shared" si="1"/>
        <v>1</v>
      </c>
      <c r="AC25" s="140">
        <f t="shared" si="1"/>
        <v>2</v>
      </c>
      <c r="AD25" s="140">
        <f t="shared" si="1"/>
        <v>3</v>
      </c>
      <c r="AE25" s="140">
        <f t="shared" si="1"/>
        <v>1</v>
      </c>
      <c r="AF25" s="140">
        <f t="shared" si="1"/>
        <v>2</v>
      </c>
      <c r="AG25" s="140">
        <f t="shared" si="1"/>
        <v>1</v>
      </c>
      <c r="AH25" s="140">
        <f t="shared" si="1"/>
        <v>1</v>
      </c>
      <c r="AI25" s="140">
        <f t="shared" si="1"/>
        <v>2</v>
      </c>
      <c r="AJ25" s="140">
        <f t="shared" si="1"/>
        <v>1</v>
      </c>
      <c r="AK25" s="140">
        <f t="shared" si="1"/>
        <v>1</v>
      </c>
      <c r="AL25" s="140">
        <f t="shared" si="1"/>
        <v>3</v>
      </c>
      <c r="AM25" s="140">
        <f t="shared" si="1"/>
        <v>1</v>
      </c>
      <c r="AN25" s="140">
        <f t="shared" si="1"/>
        <v>1</v>
      </c>
      <c r="AO25" s="140">
        <f t="shared" si="1"/>
        <v>3</v>
      </c>
      <c r="AP25" s="140">
        <f t="shared" si="1"/>
        <v>2</v>
      </c>
      <c r="AQ25" s="140">
        <f t="shared" si="1"/>
        <v>2</v>
      </c>
      <c r="AR25" s="140">
        <f t="shared" si="1"/>
        <v>2</v>
      </c>
      <c r="AS25" s="140">
        <f t="shared" si="1"/>
        <v>2</v>
      </c>
      <c r="AT25" s="140">
        <f t="shared" si="1"/>
        <v>2</v>
      </c>
      <c r="AU25" s="140">
        <f t="shared" si="1"/>
        <v>2</v>
      </c>
      <c r="AV25" s="140">
        <f t="shared" si="1"/>
        <v>1</v>
      </c>
      <c r="AW25" s="140">
        <f t="shared" si="1"/>
        <v>1</v>
      </c>
      <c r="AX25" s="140">
        <f t="shared" si="1"/>
        <v>2</v>
      </c>
      <c r="AY25" s="140">
        <f t="shared" si="1"/>
        <v>1</v>
      </c>
      <c r="AZ25" s="140">
        <f t="shared" si="1"/>
        <v>1</v>
      </c>
      <c r="BA25" s="140">
        <f t="shared" si="1"/>
        <v>2</v>
      </c>
      <c r="BB25" s="140">
        <f t="shared" si="1"/>
        <v>2</v>
      </c>
      <c r="BC25" s="140">
        <f t="shared" si="1"/>
        <v>1</v>
      </c>
    </row>
    <row r="26" spans="1:56" x14ac:dyDescent="0.3">
      <c r="A26" s="135" t="s">
        <v>506</v>
      </c>
      <c r="B26" s="130" t="s">
        <v>685</v>
      </c>
      <c r="C26" s="130" t="s">
        <v>686</v>
      </c>
      <c r="D26" s="130" t="s">
        <v>659</v>
      </c>
    </row>
    <row r="27" spans="1:56" ht="28.8" x14ac:dyDescent="0.3">
      <c r="A27" s="135" t="s">
        <v>600</v>
      </c>
      <c r="B27" s="130" t="s">
        <v>688</v>
      </c>
      <c r="C27" s="130" t="s">
        <v>689</v>
      </c>
      <c r="D27" s="130" t="s">
        <v>668</v>
      </c>
    </row>
    <row r="28" spans="1:56" ht="28.8" x14ac:dyDescent="0.3">
      <c r="A28" s="135" t="s">
        <v>601</v>
      </c>
      <c r="B28" s="130" t="s">
        <v>690</v>
      </c>
      <c r="C28" s="130" t="s">
        <v>691</v>
      </c>
      <c r="D28" s="130" t="s">
        <v>659</v>
      </c>
    </row>
    <row r="29" spans="1:56" ht="28.8" x14ac:dyDescent="0.3">
      <c r="A29" s="135" t="s">
        <v>602</v>
      </c>
      <c r="B29" s="130" t="s">
        <v>692</v>
      </c>
      <c r="C29" s="130" t="s">
        <v>693</v>
      </c>
      <c r="D29" s="130" t="s">
        <v>659</v>
      </c>
    </row>
    <row r="30" spans="1:56" x14ac:dyDescent="0.3">
      <c r="A30" s="135" t="s">
        <v>603</v>
      </c>
      <c r="B30" s="130" t="s">
        <v>580</v>
      </c>
      <c r="C30" s="130" t="s">
        <v>694</v>
      </c>
      <c r="D30" s="130" t="s">
        <v>659</v>
      </c>
    </row>
    <row r="31" spans="1:56" ht="28.8" x14ac:dyDescent="0.3">
      <c r="A31" s="135" t="s">
        <v>615</v>
      </c>
      <c r="B31" s="130" t="s">
        <v>580</v>
      </c>
      <c r="C31" s="130" t="s">
        <v>698</v>
      </c>
      <c r="D31" s="130" t="s">
        <v>659</v>
      </c>
    </row>
    <row r="32" spans="1:56" x14ac:dyDescent="0.3">
      <c r="A32" s="135" t="s">
        <v>616</v>
      </c>
      <c r="B32" s="130" t="s">
        <v>685</v>
      </c>
      <c r="C32" s="130" t="s">
        <v>699</v>
      </c>
      <c r="D32" s="130" t="s">
        <v>659</v>
      </c>
    </row>
    <row r="33" spans="1:4" x14ac:dyDescent="0.3">
      <c r="A33" s="135" t="s">
        <v>617</v>
      </c>
      <c r="B33" s="130" t="s">
        <v>685</v>
      </c>
      <c r="C33" s="130" t="s">
        <v>700</v>
      </c>
      <c r="D33" s="130" t="s">
        <v>659</v>
      </c>
    </row>
    <row r="34" spans="1:4" ht="28.8" x14ac:dyDescent="0.3">
      <c r="A34" s="135" t="s">
        <v>652</v>
      </c>
      <c r="B34" s="130" t="s">
        <v>672</v>
      </c>
      <c r="C34" s="130" t="s">
        <v>701</v>
      </c>
      <c r="D34" s="130" t="s">
        <v>659</v>
      </c>
    </row>
    <row r="35" spans="1:4" ht="43.2" x14ac:dyDescent="0.3">
      <c r="A35" s="135" t="s">
        <v>650</v>
      </c>
      <c r="B35" s="130" t="s">
        <v>704</v>
      </c>
      <c r="C35" s="130" t="s">
        <v>703</v>
      </c>
      <c r="D35" s="130" t="s">
        <v>659</v>
      </c>
    </row>
    <row r="36" spans="1:4" ht="43.2" x14ac:dyDescent="0.3">
      <c r="A36" s="135" t="s">
        <v>604</v>
      </c>
      <c r="B36" s="130" t="s">
        <v>704</v>
      </c>
      <c r="C36" s="130" t="s">
        <v>705</v>
      </c>
      <c r="D36" s="130" t="s">
        <v>668</v>
      </c>
    </row>
    <row r="37" spans="1:4" ht="28.8" x14ac:dyDescent="0.3">
      <c r="A37" s="135" t="s">
        <v>605</v>
      </c>
      <c r="B37" s="130" t="s">
        <v>661</v>
      </c>
      <c r="C37" s="130" t="s">
        <v>706</v>
      </c>
      <c r="D37" s="130" t="s">
        <v>668</v>
      </c>
    </row>
    <row r="38" spans="1:4" ht="28.8" x14ac:dyDescent="0.3">
      <c r="A38" s="135" t="s">
        <v>606</v>
      </c>
      <c r="B38" s="130" t="s">
        <v>707</v>
      </c>
      <c r="C38" s="130" t="s">
        <v>708</v>
      </c>
      <c r="D38" s="130" t="s">
        <v>709</v>
      </c>
    </row>
    <row r="39" spans="1:4" ht="28.8" x14ac:dyDescent="0.3">
      <c r="A39" s="135" t="s">
        <v>607</v>
      </c>
      <c r="B39" s="130" t="s">
        <v>707</v>
      </c>
      <c r="C39" s="130" t="s">
        <v>710</v>
      </c>
      <c r="D39" s="130" t="s">
        <v>709</v>
      </c>
    </row>
    <row r="40" spans="1:4" ht="28.8" x14ac:dyDescent="0.3">
      <c r="A40" s="135" t="s">
        <v>608</v>
      </c>
      <c r="B40" s="130" t="s">
        <v>711</v>
      </c>
      <c r="C40" s="130" t="s">
        <v>712</v>
      </c>
      <c r="D40" s="130" t="s">
        <v>713</v>
      </c>
    </row>
    <row r="41" spans="1:4" ht="28.8" x14ac:dyDescent="0.3">
      <c r="A41" s="135" t="s">
        <v>609</v>
      </c>
      <c r="B41" s="130" t="s">
        <v>714</v>
      </c>
      <c r="C41" s="130" t="s">
        <v>715</v>
      </c>
      <c r="D41" s="130" t="s">
        <v>716</v>
      </c>
    </row>
    <row r="42" spans="1:4" ht="28.8" x14ac:dyDescent="0.3">
      <c r="A42" s="135" t="s">
        <v>610</v>
      </c>
      <c r="B42" s="130" t="s">
        <v>717</v>
      </c>
      <c r="C42" s="130" t="s">
        <v>718</v>
      </c>
      <c r="D42" s="130" t="s">
        <v>719</v>
      </c>
    </row>
    <row r="43" spans="1:4" ht="28.8" x14ac:dyDescent="0.3">
      <c r="A43" s="135" t="s">
        <v>611</v>
      </c>
      <c r="B43" s="130" t="s">
        <v>711</v>
      </c>
      <c r="C43" s="130" t="s">
        <v>720</v>
      </c>
      <c r="D43" s="130" t="s">
        <v>721</v>
      </c>
    </row>
    <row r="44" spans="1:4" ht="43.2" x14ac:dyDescent="0.3">
      <c r="A44" s="135" t="s">
        <v>612</v>
      </c>
      <c r="B44" s="130" t="s">
        <v>722</v>
      </c>
      <c r="C44" s="130" t="s">
        <v>723</v>
      </c>
      <c r="D44" s="130" t="s">
        <v>659</v>
      </c>
    </row>
    <row r="45" spans="1:4" ht="28.8" x14ac:dyDescent="0.3">
      <c r="A45" s="135" t="s">
        <v>645</v>
      </c>
      <c r="B45" s="130" t="s">
        <v>724</v>
      </c>
      <c r="C45" s="130" t="s">
        <v>725</v>
      </c>
      <c r="D45" s="130" t="s">
        <v>677</v>
      </c>
    </row>
    <row r="46" spans="1:4" ht="28.8" x14ac:dyDescent="0.3">
      <c r="A46" s="135" t="s">
        <v>618</v>
      </c>
      <c r="B46" s="130" t="s">
        <v>702</v>
      </c>
      <c r="C46" s="130" t="s">
        <v>726</v>
      </c>
      <c r="D46" s="130" t="s">
        <v>659</v>
      </c>
    </row>
    <row r="47" spans="1:4" ht="28.8" x14ac:dyDescent="0.3">
      <c r="A47" s="135" t="s">
        <v>644</v>
      </c>
      <c r="B47" s="130" t="s">
        <v>696</v>
      </c>
      <c r="C47" s="130" t="s">
        <v>727</v>
      </c>
      <c r="D47" s="130" t="s">
        <v>677</v>
      </c>
    </row>
    <row r="48" spans="1:4" ht="28.8" x14ac:dyDescent="0.3">
      <c r="A48" s="135" t="s">
        <v>655</v>
      </c>
      <c r="B48" s="130" t="s">
        <v>728</v>
      </c>
      <c r="C48" s="130" t="s">
        <v>729</v>
      </c>
      <c r="D48" s="130" t="s">
        <v>677</v>
      </c>
    </row>
  </sheetData>
  <conditionalFormatting sqref="I2:BC24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4351-4B70-434D-9BFC-BD0E566E7250}">
  <dimension ref="A1:CI7"/>
  <sheetViews>
    <sheetView topLeftCell="J1" workbookViewId="0">
      <selection activeCell="I20" sqref="I20"/>
    </sheetView>
  </sheetViews>
  <sheetFormatPr defaultRowHeight="14.4" x14ac:dyDescent="0.3"/>
  <cols>
    <col min="8" max="8" width="8" customWidth="1"/>
  </cols>
  <sheetData>
    <row r="1" spans="1:87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8" t="s">
        <v>8</v>
      </c>
      <c r="J1" s="7" t="s">
        <v>9</v>
      </c>
      <c r="K1" s="8" t="s">
        <v>10</v>
      </c>
      <c r="L1" s="1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1" t="s">
        <v>16</v>
      </c>
      <c r="R1" s="1" t="s">
        <v>17</v>
      </c>
      <c r="S1" s="7" t="s">
        <v>18</v>
      </c>
      <c r="T1" s="8" t="s">
        <v>19</v>
      </c>
      <c r="U1" s="1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1" t="s">
        <v>25</v>
      </c>
      <c r="AA1" s="1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7" t="s">
        <v>37</v>
      </c>
      <c r="AK1" s="8" t="s">
        <v>38</v>
      </c>
      <c r="AL1" s="7" t="s">
        <v>39</v>
      </c>
      <c r="AM1" s="8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7" t="s">
        <v>46</v>
      </c>
      <c r="AT1" s="8" t="s">
        <v>47</v>
      </c>
      <c r="AU1" s="7" t="s">
        <v>48</v>
      </c>
      <c r="AV1" s="8" t="s">
        <v>49</v>
      </c>
      <c r="AW1" s="7" t="s">
        <v>50</v>
      </c>
      <c r="AX1" s="145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46" t="s">
        <v>763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7" t="s">
        <v>65</v>
      </c>
      <c r="BN1" s="7" t="s">
        <v>66</v>
      </c>
      <c r="BO1" s="8" t="s">
        <v>67</v>
      </c>
      <c r="BP1" s="8" t="s">
        <v>68</v>
      </c>
      <c r="BQ1" s="7" t="s">
        <v>69</v>
      </c>
      <c r="BR1" s="7" t="s">
        <v>70</v>
      </c>
      <c r="BS1" s="8" t="s">
        <v>71</v>
      </c>
      <c r="BT1" s="8" t="s">
        <v>72</v>
      </c>
      <c r="BU1" s="7" t="s">
        <v>73</v>
      </c>
      <c r="BV1" s="7" t="s">
        <v>74</v>
      </c>
      <c r="BW1" s="8" t="s">
        <v>75</v>
      </c>
      <c r="BX1" s="8" t="s">
        <v>76</v>
      </c>
      <c r="BY1" s="7" t="s">
        <v>77</v>
      </c>
      <c r="BZ1" s="7" t="s">
        <v>78</v>
      </c>
      <c r="CA1" s="8" t="s">
        <v>79</v>
      </c>
      <c r="CB1" s="8" t="s">
        <v>80</v>
      </c>
      <c r="CC1" s="7" t="s">
        <v>81</v>
      </c>
      <c r="CD1" s="7" t="s">
        <v>82</v>
      </c>
      <c r="CE1" s="8" t="s">
        <v>83</v>
      </c>
      <c r="CF1" s="8" t="s">
        <v>84</v>
      </c>
      <c r="CG1" s="1" t="s">
        <v>85</v>
      </c>
      <c r="CH1" s="1" t="s">
        <v>86</v>
      </c>
      <c r="CI1" s="1" t="s">
        <v>87</v>
      </c>
    </row>
    <row r="2" spans="1:87" s="161" customFormat="1" x14ac:dyDescent="0.3">
      <c r="A2" s="164" t="s">
        <v>89</v>
      </c>
      <c r="B2" s="219" t="s">
        <v>623</v>
      </c>
      <c r="C2" s="164" t="s">
        <v>624</v>
      </c>
      <c r="D2" s="161">
        <v>2025</v>
      </c>
      <c r="E2" s="161">
        <v>44</v>
      </c>
      <c r="F2" s="161">
        <v>1</v>
      </c>
      <c r="G2" s="161">
        <v>2</v>
      </c>
      <c r="H2" s="188" t="s">
        <v>802</v>
      </c>
      <c r="I2" s="192" t="s">
        <v>758</v>
      </c>
      <c r="J2" s="168">
        <v>-99</v>
      </c>
      <c r="K2" s="168">
        <v>-99</v>
      </c>
      <c r="L2" s="168">
        <v>-99</v>
      </c>
      <c r="M2" s="168">
        <v>-99</v>
      </c>
      <c r="N2" s="168">
        <v>-99</v>
      </c>
      <c r="O2" s="168">
        <v>-99</v>
      </c>
      <c r="P2" s="168">
        <v>-99</v>
      </c>
      <c r="Q2" s="168">
        <v>-99</v>
      </c>
      <c r="R2" s="168">
        <v>-99</v>
      </c>
      <c r="S2" s="168">
        <v>0</v>
      </c>
      <c r="T2" s="168">
        <v>-99</v>
      </c>
      <c r="U2" s="168">
        <v>-99</v>
      </c>
      <c r="V2" s="168">
        <v>-99</v>
      </c>
      <c r="W2" s="168">
        <v>-99</v>
      </c>
      <c r="X2" s="168">
        <v>-99</v>
      </c>
      <c r="Y2" s="168">
        <v>-99</v>
      </c>
      <c r="Z2" s="168">
        <v>-99</v>
      </c>
      <c r="AA2" s="168">
        <v>-99</v>
      </c>
      <c r="AB2" s="168">
        <v>-99</v>
      </c>
      <c r="AC2" s="168">
        <v>-99</v>
      </c>
      <c r="AD2" s="168">
        <v>-99</v>
      </c>
      <c r="AE2" s="168">
        <v>-99</v>
      </c>
      <c r="AF2" s="168">
        <v>-99</v>
      </c>
      <c r="AG2" s="168">
        <v>-99</v>
      </c>
      <c r="AH2" s="168">
        <v>-99</v>
      </c>
      <c r="AI2" s="168">
        <v>-99</v>
      </c>
      <c r="AJ2" s="168">
        <v>0</v>
      </c>
      <c r="AK2" s="168">
        <v>0</v>
      </c>
      <c r="AL2" s="168">
        <v>0</v>
      </c>
      <c r="AM2" s="168">
        <v>0</v>
      </c>
      <c r="AN2" s="188">
        <v>25</v>
      </c>
      <c r="AO2" s="188">
        <v>25</v>
      </c>
      <c r="AP2" s="168">
        <v>1</v>
      </c>
      <c r="AQ2" s="168">
        <v>0</v>
      </c>
      <c r="AR2" s="168">
        <v>0</v>
      </c>
      <c r="AS2" s="168" t="s">
        <v>759</v>
      </c>
      <c r="AT2" s="210" t="s">
        <v>806</v>
      </c>
      <c r="AU2" s="168" t="s">
        <v>760</v>
      </c>
      <c r="AV2" s="168" t="s">
        <v>761</v>
      </c>
      <c r="AW2" s="161">
        <v>4</v>
      </c>
      <c r="AX2" s="168" t="s">
        <v>762</v>
      </c>
      <c r="AY2" s="161">
        <v>15</v>
      </c>
      <c r="AZ2" s="161">
        <v>15</v>
      </c>
      <c r="BA2" s="161">
        <v>2</v>
      </c>
      <c r="BB2" s="161">
        <v>20</v>
      </c>
      <c r="BC2" s="161">
        <v>15</v>
      </c>
      <c r="BE2" s="168" t="s">
        <v>296</v>
      </c>
      <c r="BF2" s="168">
        <v>1</v>
      </c>
      <c r="BG2" s="168" t="s">
        <v>658</v>
      </c>
      <c r="BH2" s="168">
        <v>1</v>
      </c>
      <c r="BI2" s="168">
        <v>-1</v>
      </c>
      <c r="BJ2" s="168">
        <v>-1</v>
      </c>
      <c r="BK2" s="168">
        <v>-1</v>
      </c>
      <c r="BL2" s="168">
        <v>-1</v>
      </c>
      <c r="BM2" s="168">
        <v>26.082999999999998</v>
      </c>
      <c r="BN2" s="168">
        <v>2.7650000000000001</v>
      </c>
      <c r="BO2" s="168">
        <v>25.933</v>
      </c>
      <c r="BP2" s="168">
        <v>2.6309999999999998</v>
      </c>
      <c r="BU2" s="168">
        <v>26.652000000000001</v>
      </c>
      <c r="BV2" s="168">
        <v>2.3860000000000001</v>
      </c>
      <c r="BW2" s="168">
        <v>26.933</v>
      </c>
      <c r="BX2" s="168">
        <v>2.1869999999999998</v>
      </c>
      <c r="BY2" s="168">
        <v>26.913</v>
      </c>
      <c r="BZ2" s="168">
        <v>2.234</v>
      </c>
      <c r="CA2" s="168">
        <v>26.733000000000001</v>
      </c>
      <c r="CB2" s="168">
        <v>1.907</v>
      </c>
      <c r="CC2" s="168"/>
      <c r="CD2" s="168"/>
      <c r="CE2" s="168"/>
      <c r="CF2" s="168"/>
      <c r="CG2" s="168"/>
      <c r="CH2" s="168"/>
      <c r="CI2" s="168"/>
    </row>
    <row r="3" spans="1:87" s="161" customFormat="1" x14ac:dyDescent="0.3">
      <c r="A3" s="158" t="s">
        <v>99</v>
      </c>
      <c r="B3" s="161" t="s">
        <v>103</v>
      </c>
      <c r="C3" s="166" t="s">
        <v>169</v>
      </c>
      <c r="D3" s="160">
        <v>2024</v>
      </c>
      <c r="E3" s="158">
        <v>59</v>
      </c>
      <c r="F3" s="161">
        <v>1</v>
      </c>
      <c r="G3" s="161">
        <v>1</v>
      </c>
      <c r="H3" s="161" t="s">
        <v>512</v>
      </c>
      <c r="I3" s="194" t="s">
        <v>513</v>
      </c>
      <c r="J3" s="161">
        <v>23</v>
      </c>
      <c r="K3" s="161">
        <v>23</v>
      </c>
      <c r="L3" s="161">
        <v>-99</v>
      </c>
      <c r="M3" s="161">
        <v>7</v>
      </c>
      <c r="N3" s="161">
        <v>16</v>
      </c>
      <c r="O3" s="161">
        <v>9</v>
      </c>
      <c r="P3" s="161">
        <v>14</v>
      </c>
      <c r="Q3" s="161">
        <v>-99</v>
      </c>
      <c r="R3" s="161">
        <v>-99</v>
      </c>
      <c r="S3" s="161">
        <v>1</v>
      </c>
      <c r="T3" s="161">
        <v>1</v>
      </c>
      <c r="U3" s="161">
        <v>-99</v>
      </c>
      <c r="V3" s="161">
        <v>68.569999999999993</v>
      </c>
      <c r="W3" s="161">
        <v>5.21</v>
      </c>
      <c r="X3" s="161">
        <v>63.7</v>
      </c>
      <c r="Y3" s="161">
        <v>6.05</v>
      </c>
      <c r="Z3" s="161">
        <v>-99</v>
      </c>
      <c r="AA3" s="161">
        <v>-99</v>
      </c>
      <c r="AB3" s="161">
        <v>-99</v>
      </c>
      <c r="AC3" s="161">
        <v>-99</v>
      </c>
      <c r="AD3" s="161">
        <v>-99</v>
      </c>
      <c r="AE3" s="161">
        <v>-99</v>
      </c>
      <c r="AF3" s="161">
        <v>-99</v>
      </c>
      <c r="AG3" s="161">
        <v>-99</v>
      </c>
      <c r="AH3" s="161">
        <v>-99</v>
      </c>
      <c r="AI3" s="161">
        <v>-99</v>
      </c>
      <c r="AJ3" s="161">
        <v>0</v>
      </c>
      <c r="AK3" s="161">
        <v>0</v>
      </c>
      <c r="AL3" s="161">
        <v>0</v>
      </c>
      <c r="AM3" s="161">
        <v>0</v>
      </c>
      <c r="AN3" s="161">
        <v>42.41</v>
      </c>
      <c r="AO3" s="161">
        <v>12.12</v>
      </c>
      <c r="AP3" s="161">
        <v>0</v>
      </c>
      <c r="AQ3" s="161">
        <v>0</v>
      </c>
      <c r="AR3" s="161">
        <v>2</v>
      </c>
      <c r="AS3" s="161" t="s">
        <v>518</v>
      </c>
      <c r="AT3" s="161" t="s">
        <v>518</v>
      </c>
      <c r="AU3" s="161" t="s">
        <v>517</v>
      </c>
      <c r="AV3" s="161" t="s">
        <v>517</v>
      </c>
      <c r="AW3" s="161">
        <v>40</v>
      </c>
      <c r="AX3" s="161" t="s">
        <v>762</v>
      </c>
      <c r="AY3" s="161">
        <v>-99</v>
      </c>
      <c r="AZ3" s="161">
        <v>-99</v>
      </c>
      <c r="BA3" s="161">
        <v>15</v>
      </c>
      <c r="BB3" s="161">
        <v>60</v>
      </c>
      <c r="BC3" s="161">
        <v>30</v>
      </c>
      <c r="BD3" s="161" t="s">
        <v>764</v>
      </c>
      <c r="BE3" s="168" t="s">
        <v>296</v>
      </c>
      <c r="BF3" s="168">
        <v>1</v>
      </c>
      <c r="BG3" s="168" t="s">
        <v>658</v>
      </c>
      <c r="BH3" s="161">
        <v>1</v>
      </c>
      <c r="BI3" s="161">
        <v>1</v>
      </c>
      <c r="BJ3" s="161">
        <v>0</v>
      </c>
      <c r="BK3" s="161">
        <v>-99</v>
      </c>
      <c r="BL3" s="161">
        <v>-99</v>
      </c>
      <c r="BM3" s="164">
        <v>14.52</v>
      </c>
      <c r="BN3" s="164">
        <v>3.82</v>
      </c>
      <c r="BO3" s="164">
        <v>15.74</v>
      </c>
      <c r="BP3" s="164">
        <v>3.99</v>
      </c>
      <c r="BU3" s="161">
        <v>16.736999999999998</v>
      </c>
      <c r="BV3" s="161">
        <v>6.16</v>
      </c>
      <c r="BW3" s="161">
        <v>16.088000000000001</v>
      </c>
      <c r="BX3" s="161">
        <v>6.49</v>
      </c>
      <c r="BY3" s="161">
        <v>15.38</v>
      </c>
      <c r="BZ3" s="161">
        <v>6.22</v>
      </c>
      <c r="CA3" s="161">
        <v>16.89</v>
      </c>
      <c r="CB3" s="161">
        <v>7.89</v>
      </c>
    </row>
    <row r="4" spans="1:87" s="148" customFormat="1" hidden="1" x14ac:dyDescent="0.3">
      <c r="A4" s="198" t="s">
        <v>99</v>
      </c>
      <c r="B4" s="198" t="s">
        <v>107</v>
      </c>
      <c r="C4" s="199" t="s">
        <v>223</v>
      </c>
      <c r="D4" s="200">
        <v>2021</v>
      </c>
      <c r="E4" s="198">
        <v>63</v>
      </c>
      <c r="F4" s="148">
        <v>1</v>
      </c>
      <c r="G4" s="148">
        <v>0</v>
      </c>
      <c r="H4" s="201" t="s">
        <v>803</v>
      </c>
      <c r="I4" s="202">
        <v>-99</v>
      </c>
      <c r="J4" s="201">
        <v>15</v>
      </c>
      <c r="K4" s="148">
        <v>-99</v>
      </c>
      <c r="L4" s="148">
        <v>-99</v>
      </c>
      <c r="M4" s="148">
        <v>9</v>
      </c>
      <c r="N4" s="148">
        <v>6</v>
      </c>
      <c r="O4" s="148">
        <v>-99</v>
      </c>
      <c r="P4" s="148">
        <v>-99</v>
      </c>
      <c r="Q4" s="148">
        <v>-99</v>
      </c>
      <c r="R4" s="148">
        <v>-99</v>
      </c>
      <c r="S4" s="148">
        <v>0</v>
      </c>
      <c r="T4" s="148">
        <v>0</v>
      </c>
      <c r="U4" s="148">
        <v>-99</v>
      </c>
      <c r="V4" s="148">
        <v>72</v>
      </c>
      <c r="X4" s="148">
        <v>-99</v>
      </c>
      <c r="Y4" s="148">
        <v>-99</v>
      </c>
      <c r="Z4" s="148">
        <v>-99</v>
      </c>
      <c r="AA4" s="148">
        <v>-99</v>
      </c>
      <c r="AB4" s="148">
        <v>-99</v>
      </c>
      <c r="AC4" s="148">
        <v>-99</v>
      </c>
      <c r="AD4" s="148">
        <v>-99</v>
      </c>
      <c r="AE4" s="148">
        <v>-99</v>
      </c>
      <c r="AF4" s="148">
        <v>-99</v>
      </c>
      <c r="AG4" s="148">
        <v>-99</v>
      </c>
      <c r="AH4" s="148">
        <v>-99</v>
      </c>
      <c r="AI4" s="148">
        <v>-99</v>
      </c>
      <c r="AJ4" s="148">
        <v>0</v>
      </c>
      <c r="AK4" s="148">
        <v>-99</v>
      </c>
      <c r="AL4" s="148">
        <v>0</v>
      </c>
      <c r="AM4" s="148">
        <v>-99</v>
      </c>
      <c r="AN4" s="148">
        <v>3.14</v>
      </c>
      <c r="AO4" s="148">
        <v>3.14</v>
      </c>
      <c r="AP4" s="148">
        <v>1</v>
      </c>
      <c r="AQ4" s="148">
        <v>1</v>
      </c>
      <c r="AR4" s="148">
        <v>1</v>
      </c>
      <c r="AS4" s="190" t="s">
        <v>796</v>
      </c>
      <c r="AT4" s="197">
        <v>-99</v>
      </c>
      <c r="AU4" s="148" t="s">
        <v>795</v>
      </c>
      <c r="AV4" s="148">
        <v>-99</v>
      </c>
      <c r="AW4" s="148">
        <v>40</v>
      </c>
      <c r="AX4" s="148">
        <v>-99</v>
      </c>
      <c r="AY4" s="148">
        <v>30</v>
      </c>
      <c r="AZ4" s="148">
        <v>30</v>
      </c>
      <c r="BA4" s="148">
        <v>4</v>
      </c>
      <c r="BB4" s="148">
        <v>60</v>
      </c>
      <c r="BC4" s="148" t="s">
        <v>797</v>
      </c>
      <c r="BD4" s="148" t="s">
        <v>794</v>
      </c>
      <c r="BE4" s="153" t="s">
        <v>296</v>
      </c>
      <c r="BF4" s="148">
        <v>1</v>
      </c>
      <c r="BG4" s="153" t="s">
        <v>658</v>
      </c>
      <c r="BH4" s="148">
        <v>1</v>
      </c>
      <c r="BI4" s="148">
        <v>1</v>
      </c>
      <c r="BJ4" s="148">
        <v>0</v>
      </c>
      <c r="BK4" s="148">
        <v>-99</v>
      </c>
      <c r="BL4" s="148">
        <v>-99</v>
      </c>
      <c r="BM4" s="147">
        <v>15.73</v>
      </c>
      <c r="BN4" s="148">
        <v>4.2300000000000004</v>
      </c>
      <c r="BO4" s="148">
        <v>-99</v>
      </c>
      <c r="BP4" s="148">
        <v>-99</v>
      </c>
      <c r="BU4" s="147">
        <v>17.53</v>
      </c>
      <c r="BV4" s="148">
        <v>4.5</v>
      </c>
      <c r="BW4" s="148">
        <v>-99</v>
      </c>
      <c r="BX4" s="148">
        <v>-99</v>
      </c>
      <c r="CG4" s="148">
        <v>0.05</v>
      </c>
      <c r="CH4" s="148">
        <v>0.41</v>
      </c>
    </row>
    <row r="5" spans="1:87" s="179" customFormat="1" x14ac:dyDescent="0.3">
      <c r="A5" s="178" t="s">
        <v>113</v>
      </c>
      <c r="B5" s="222" t="s">
        <v>626</v>
      </c>
      <c r="C5" s="180" t="s">
        <v>625</v>
      </c>
      <c r="D5" s="181">
        <v>2019</v>
      </c>
      <c r="E5" s="182">
        <v>97</v>
      </c>
      <c r="F5" s="179">
        <v>0</v>
      </c>
      <c r="G5" s="179">
        <v>1</v>
      </c>
      <c r="H5" s="183" t="s">
        <v>793</v>
      </c>
      <c r="I5" s="193" t="s">
        <v>779</v>
      </c>
      <c r="J5" s="184">
        <v>15</v>
      </c>
      <c r="K5" s="179">
        <v>15</v>
      </c>
      <c r="L5" s="179">
        <v>-99</v>
      </c>
      <c r="M5" s="179">
        <v>9</v>
      </c>
      <c r="N5" s="179">
        <v>6</v>
      </c>
      <c r="O5" s="179">
        <v>9</v>
      </c>
      <c r="P5" s="179">
        <v>6</v>
      </c>
      <c r="Q5" s="179">
        <v>-99</v>
      </c>
      <c r="R5" s="179">
        <v>-99</v>
      </c>
      <c r="S5" s="179">
        <v>0</v>
      </c>
      <c r="T5" s="179">
        <v>0</v>
      </c>
      <c r="U5" s="179">
        <v>-99</v>
      </c>
      <c r="V5" s="179">
        <v>69</v>
      </c>
      <c r="W5" s="179">
        <v>6.3</v>
      </c>
      <c r="X5" s="179">
        <v>69</v>
      </c>
      <c r="Y5" s="179">
        <v>6.3</v>
      </c>
      <c r="Z5" s="179">
        <v>-99</v>
      </c>
      <c r="AA5" s="179">
        <v>-99</v>
      </c>
      <c r="AB5" s="179">
        <v>6.3</v>
      </c>
      <c r="AC5" s="179">
        <v>4.8</v>
      </c>
      <c r="AD5" s="179">
        <v>6.3</v>
      </c>
      <c r="AE5" s="179">
        <v>4.8</v>
      </c>
      <c r="AF5" s="179">
        <v>528.5</v>
      </c>
      <c r="AG5" s="179">
        <v>290</v>
      </c>
      <c r="AH5" s="179">
        <v>528.5</v>
      </c>
      <c r="AI5" s="179">
        <v>290</v>
      </c>
      <c r="AJ5" s="179">
        <v>1</v>
      </c>
      <c r="AK5" s="179">
        <v>1</v>
      </c>
      <c r="AL5" s="179">
        <v>0</v>
      </c>
      <c r="AM5" s="179">
        <v>0</v>
      </c>
      <c r="AN5" s="179">
        <v>35</v>
      </c>
      <c r="AO5" s="179">
        <v>35</v>
      </c>
      <c r="AP5" s="179">
        <v>0</v>
      </c>
      <c r="AQ5" s="179">
        <v>0</v>
      </c>
      <c r="AR5" s="179">
        <v>0</v>
      </c>
      <c r="AS5" s="185" t="s">
        <v>792</v>
      </c>
      <c r="AT5" s="179" t="s">
        <v>788</v>
      </c>
      <c r="AU5" s="185" t="s">
        <v>792</v>
      </c>
      <c r="AV5" s="179" t="s">
        <v>788</v>
      </c>
      <c r="AW5" s="222" t="s">
        <v>790</v>
      </c>
      <c r="AX5" s="179" t="s">
        <v>768</v>
      </c>
      <c r="AY5" s="179">
        <v>-99</v>
      </c>
      <c r="AZ5" s="179">
        <v>-99</v>
      </c>
      <c r="BA5" s="179">
        <v>2</v>
      </c>
      <c r="BB5" s="179">
        <v>30</v>
      </c>
      <c r="BC5" s="179">
        <v>10</v>
      </c>
      <c r="BD5" s="179" t="s">
        <v>780</v>
      </c>
      <c r="BE5" s="186" t="s">
        <v>296</v>
      </c>
      <c r="BF5" s="179">
        <v>1</v>
      </c>
      <c r="BG5" s="186" t="s">
        <v>658</v>
      </c>
      <c r="BH5" s="179">
        <v>1</v>
      </c>
      <c r="BI5" s="179">
        <v>0</v>
      </c>
      <c r="BJ5" s="179">
        <v>0</v>
      </c>
      <c r="BK5" s="179">
        <v>-99</v>
      </c>
      <c r="BL5" s="179">
        <v>-99</v>
      </c>
      <c r="BM5" s="187" t="s">
        <v>638</v>
      </c>
      <c r="BN5" s="187">
        <v>-99</v>
      </c>
      <c r="BO5" s="187" t="s">
        <v>641</v>
      </c>
      <c r="BP5" s="179">
        <v>-99</v>
      </c>
      <c r="BU5" s="187" t="s">
        <v>639</v>
      </c>
      <c r="BV5" s="187">
        <v>-99</v>
      </c>
      <c r="BW5" s="187" t="s">
        <v>638</v>
      </c>
      <c r="BX5" s="179">
        <v>-99</v>
      </c>
      <c r="BY5" s="187" t="s">
        <v>640</v>
      </c>
      <c r="BZ5" s="187">
        <v>-99</v>
      </c>
      <c r="CA5" s="187">
        <v>23</v>
      </c>
      <c r="CB5" s="179">
        <v>-99</v>
      </c>
    </row>
    <row r="6" spans="1:87" s="148" customFormat="1" hidden="1" x14ac:dyDescent="0.3">
      <c r="A6" s="147" t="s">
        <v>113</v>
      </c>
      <c r="B6" s="148" t="s">
        <v>632</v>
      </c>
      <c r="C6" s="209" t="s">
        <v>767</v>
      </c>
      <c r="D6" s="150">
        <v>2025</v>
      </c>
      <c r="E6" s="149">
        <v>103</v>
      </c>
      <c r="F6" s="148">
        <v>1</v>
      </c>
      <c r="G6" s="148">
        <v>1</v>
      </c>
      <c r="H6" s="148" t="s">
        <v>793</v>
      </c>
      <c r="I6" s="197" t="s">
        <v>768</v>
      </c>
      <c r="J6" s="148">
        <v>20</v>
      </c>
      <c r="K6" s="148">
        <v>20</v>
      </c>
      <c r="L6" s="148">
        <v>-99</v>
      </c>
      <c r="M6" s="148">
        <v>14</v>
      </c>
      <c r="N6" s="148">
        <v>6</v>
      </c>
      <c r="O6" s="148">
        <v>13</v>
      </c>
      <c r="P6" s="148">
        <v>7</v>
      </c>
      <c r="Q6" s="148">
        <v>-99</v>
      </c>
      <c r="R6" s="148">
        <v>-99</v>
      </c>
      <c r="S6" s="148">
        <v>1</v>
      </c>
      <c r="T6" s="148">
        <v>1</v>
      </c>
      <c r="U6" s="148">
        <v>-99</v>
      </c>
      <c r="V6" s="148">
        <v>59.25</v>
      </c>
      <c r="W6" s="148">
        <v>5.95</v>
      </c>
      <c r="X6" s="148">
        <v>62.25</v>
      </c>
      <c r="Y6" s="148">
        <v>6.87</v>
      </c>
      <c r="Z6" s="148">
        <v>-1</v>
      </c>
      <c r="AA6" s="148">
        <v>-1</v>
      </c>
      <c r="AB6" s="148">
        <v>4.5</v>
      </c>
      <c r="AC6" s="148">
        <v>3.03</v>
      </c>
      <c r="AD6" s="148">
        <v>3.39</v>
      </c>
      <c r="AE6" s="148">
        <v>2.83</v>
      </c>
      <c r="AF6" s="148">
        <v>315</v>
      </c>
      <c r="AG6" s="148">
        <v>118.21</v>
      </c>
      <c r="AH6" s="148">
        <v>300</v>
      </c>
      <c r="AI6" s="148">
        <v>119.21</v>
      </c>
      <c r="AJ6" s="148">
        <v>0</v>
      </c>
      <c r="AK6" s="148">
        <v>0</v>
      </c>
      <c r="AL6" s="148">
        <v>0</v>
      </c>
      <c r="AM6" s="148">
        <v>0</v>
      </c>
      <c r="AN6" s="148">
        <v>3.14</v>
      </c>
      <c r="AO6" s="148">
        <v>3.14</v>
      </c>
      <c r="AP6" s="148">
        <v>1</v>
      </c>
      <c r="AQ6" s="148">
        <v>1</v>
      </c>
      <c r="AR6" s="148">
        <v>1</v>
      </c>
      <c r="AS6" s="148" t="s">
        <v>769</v>
      </c>
      <c r="AT6" s="148" t="s">
        <v>769</v>
      </c>
      <c r="AU6" s="148" t="s">
        <v>770</v>
      </c>
      <c r="AV6" s="148" t="s">
        <v>771</v>
      </c>
      <c r="AW6" s="148" t="s">
        <v>772</v>
      </c>
      <c r="AX6" s="148" t="s">
        <v>762</v>
      </c>
      <c r="AY6" s="148">
        <v>10</v>
      </c>
      <c r="AZ6" s="148">
        <v>10</v>
      </c>
      <c r="BA6" s="148">
        <v>2</v>
      </c>
      <c r="BB6" s="148">
        <v>20</v>
      </c>
      <c r="BC6" s="148">
        <v>1</v>
      </c>
      <c r="BD6" s="148" t="s">
        <v>764</v>
      </c>
      <c r="BE6" s="148" t="s">
        <v>296</v>
      </c>
      <c r="BF6" s="148">
        <v>1</v>
      </c>
      <c r="BG6" s="148" t="s">
        <v>658</v>
      </c>
      <c r="BH6" s="148">
        <v>1</v>
      </c>
      <c r="BI6" s="148">
        <v>1</v>
      </c>
      <c r="BJ6" s="148">
        <v>0</v>
      </c>
      <c r="BK6" s="148">
        <v>-99</v>
      </c>
      <c r="BL6" s="148">
        <v>-99</v>
      </c>
      <c r="BM6" s="148">
        <v>20.5</v>
      </c>
      <c r="BN6" s="148">
        <v>5.27</v>
      </c>
      <c r="BO6" s="148">
        <v>19.05</v>
      </c>
      <c r="BP6" s="148">
        <v>5.64</v>
      </c>
      <c r="BU6" s="148">
        <v>-99</v>
      </c>
      <c r="BV6" s="148">
        <v>-99</v>
      </c>
      <c r="BW6" s="148">
        <v>-99</v>
      </c>
      <c r="BX6" s="148">
        <v>-99</v>
      </c>
    </row>
    <row r="7" spans="1:87" s="148" customFormat="1" hidden="1" x14ac:dyDescent="0.3">
      <c r="A7" s="148" t="s">
        <v>127</v>
      </c>
      <c r="B7" s="147" t="s">
        <v>634</v>
      </c>
      <c r="C7" s="195" t="s">
        <v>633</v>
      </c>
      <c r="D7" s="196">
        <v>2021</v>
      </c>
      <c r="E7" s="155">
        <v>127</v>
      </c>
      <c r="F7" s="148">
        <v>0</v>
      </c>
      <c r="G7" s="148">
        <v>1</v>
      </c>
      <c r="H7" s="148" t="s">
        <v>786</v>
      </c>
      <c r="I7" s="197" t="s">
        <v>785</v>
      </c>
      <c r="J7" s="148">
        <v>15</v>
      </c>
      <c r="K7" s="148">
        <v>15</v>
      </c>
      <c r="L7" s="148">
        <v>-99</v>
      </c>
      <c r="M7" s="148">
        <v>2</v>
      </c>
      <c r="N7" s="148">
        <v>13</v>
      </c>
      <c r="O7" s="148">
        <v>2</v>
      </c>
      <c r="P7" s="148">
        <v>13</v>
      </c>
      <c r="Q7" s="148">
        <v>-99</v>
      </c>
      <c r="R7" s="148">
        <v>-99</v>
      </c>
      <c r="S7" s="148">
        <v>0</v>
      </c>
      <c r="T7" s="148">
        <v>0</v>
      </c>
      <c r="U7" s="148">
        <v>-99</v>
      </c>
      <c r="V7" s="148">
        <v>53.07</v>
      </c>
      <c r="W7" s="148">
        <v>4.18</v>
      </c>
      <c r="X7" s="148">
        <v>53.07</v>
      </c>
      <c r="Y7" s="148">
        <v>4.18</v>
      </c>
      <c r="Z7" s="148">
        <v>-99</v>
      </c>
      <c r="AA7" s="148">
        <v>-99</v>
      </c>
      <c r="AJ7" s="148">
        <v>1</v>
      </c>
      <c r="AK7" s="148">
        <v>1</v>
      </c>
      <c r="AL7" s="148">
        <v>0</v>
      </c>
      <c r="AM7" s="148">
        <v>0</v>
      </c>
      <c r="AN7" s="148">
        <v>35</v>
      </c>
      <c r="AO7" s="148">
        <v>35</v>
      </c>
      <c r="AP7" s="148">
        <v>1</v>
      </c>
      <c r="AQ7" s="148">
        <v>1</v>
      </c>
      <c r="AR7" s="148">
        <v>0</v>
      </c>
      <c r="AS7" s="148" t="s">
        <v>787</v>
      </c>
      <c r="AT7" s="148" t="s">
        <v>788</v>
      </c>
      <c r="AU7" s="148" t="s">
        <v>787</v>
      </c>
      <c r="AV7" s="148" t="s">
        <v>788</v>
      </c>
      <c r="AW7" s="148" t="s">
        <v>791</v>
      </c>
      <c r="AX7" s="148" t="s">
        <v>789</v>
      </c>
      <c r="AY7" s="148">
        <v>-99</v>
      </c>
      <c r="AZ7" s="148">
        <v>-99</v>
      </c>
      <c r="BA7" s="148">
        <v>2</v>
      </c>
      <c r="BB7" s="148">
        <v>30</v>
      </c>
      <c r="BC7" s="148">
        <v>10</v>
      </c>
      <c r="BE7" s="148" t="s">
        <v>296</v>
      </c>
      <c r="BF7" s="148">
        <v>1</v>
      </c>
      <c r="BG7" s="148" t="s">
        <v>658</v>
      </c>
      <c r="BH7" s="148">
        <v>1</v>
      </c>
      <c r="BI7" s="148">
        <v>1</v>
      </c>
      <c r="BJ7" s="148">
        <v>0</v>
      </c>
    </row>
  </sheetData>
  <phoneticPr fontId="38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8F50-13A5-4729-B7F8-C7859A5BFA2C}">
  <dimension ref="A1:CM17"/>
  <sheetViews>
    <sheetView tabSelected="1" topLeftCell="AL1" workbookViewId="0">
      <selection activeCell="H23" sqref="H23"/>
    </sheetView>
  </sheetViews>
  <sheetFormatPr defaultRowHeight="14.4" x14ac:dyDescent="0.3"/>
  <sheetData>
    <row r="1" spans="1:91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8" t="s">
        <v>8</v>
      </c>
      <c r="J1" s="7" t="s">
        <v>9</v>
      </c>
      <c r="K1" s="8" t="s">
        <v>10</v>
      </c>
      <c r="L1" s="1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1" t="s">
        <v>16</v>
      </c>
      <c r="R1" s="1" t="s">
        <v>17</v>
      </c>
      <c r="S1" s="7" t="s">
        <v>18</v>
      </c>
      <c r="T1" s="8" t="s">
        <v>19</v>
      </c>
      <c r="U1" s="1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1" t="s">
        <v>25</v>
      </c>
      <c r="AA1" s="1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7" t="s">
        <v>37</v>
      </c>
      <c r="AK1" s="8" t="s">
        <v>38</v>
      </c>
      <c r="AL1" s="7" t="s">
        <v>39</v>
      </c>
      <c r="AM1" s="8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7" t="s">
        <v>46</v>
      </c>
      <c r="AT1" s="8" t="s">
        <v>47</v>
      </c>
      <c r="AU1" s="7" t="s">
        <v>48</v>
      </c>
      <c r="AV1" s="8" t="s">
        <v>49</v>
      </c>
      <c r="AW1" s="7" t="s">
        <v>50</v>
      </c>
      <c r="AX1" s="145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46" t="s">
        <v>763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7" t="s">
        <v>65</v>
      </c>
      <c r="BN1" s="7" t="s">
        <v>66</v>
      </c>
      <c r="BO1" s="8" t="s">
        <v>67</v>
      </c>
      <c r="BP1" s="8" t="s">
        <v>68</v>
      </c>
      <c r="BQ1" s="7" t="s">
        <v>69</v>
      </c>
      <c r="BR1" s="7" t="s">
        <v>70</v>
      </c>
      <c r="BS1" s="8" t="s">
        <v>71</v>
      </c>
      <c r="BT1" s="8" t="s">
        <v>72</v>
      </c>
      <c r="BU1" s="7" t="s">
        <v>73</v>
      </c>
      <c r="BV1" s="7" t="s">
        <v>74</v>
      </c>
      <c r="BW1" s="8" t="s">
        <v>75</v>
      </c>
      <c r="BX1" s="8" t="s">
        <v>76</v>
      </c>
      <c r="BY1" s="7" t="s">
        <v>77</v>
      </c>
      <c r="BZ1" s="7" t="s">
        <v>78</v>
      </c>
      <c r="CA1" s="8" t="s">
        <v>79</v>
      </c>
      <c r="CB1" s="8" t="s">
        <v>80</v>
      </c>
      <c r="CC1" s="7" t="s">
        <v>81</v>
      </c>
      <c r="CD1" s="7" t="s">
        <v>82</v>
      </c>
      <c r="CE1" s="8" t="s">
        <v>83</v>
      </c>
      <c r="CF1" s="8" t="s">
        <v>84</v>
      </c>
      <c r="CG1" s="1" t="s">
        <v>85</v>
      </c>
      <c r="CH1" s="1" t="s">
        <v>86</v>
      </c>
      <c r="CI1" s="1" t="s">
        <v>87</v>
      </c>
      <c r="CJ1" s="203" t="s">
        <v>804</v>
      </c>
      <c r="CK1" s="203" t="s">
        <v>805</v>
      </c>
      <c r="CL1" s="204" t="s">
        <v>804</v>
      </c>
      <c r="CM1" s="204" t="s">
        <v>805</v>
      </c>
    </row>
    <row r="2" spans="1:91" s="161" customFormat="1" x14ac:dyDescent="0.3">
      <c r="A2" s="158" t="s">
        <v>99</v>
      </c>
      <c r="B2" s="158" t="s">
        <v>103</v>
      </c>
      <c r="C2" s="166" t="s">
        <v>169</v>
      </c>
      <c r="D2" s="160">
        <v>2024</v>
      </c>
      <c r="E2" s="158">
        <v>59</v>
      </c>
      <c r="F2" s="161">
        <v>1</v>
      </c>
      <c r="G2" s="161">
        <v>1</v>
      </c>
      <c r="H2" s="161" t="s">
        <v>514</v>
      </c>
      <c r="I2" s="161" t="s">
        <v>513</v>
      </c>
      <c r="J2" s="161">
        <v>23</v>
      </c>
      <c r="K2" s="161">
        <v>23</v>
      </c>
      <c r="L2" s="161">
        <v>-999</v>
      </c>
      <c r="M2" s="161">
        <v>7</v>
      </c>
      <c r="N2" s="161">
        <v>16</v>
      </c>
      <c r="O2" s="161">
        <v>9</v>
      </c>
      <c r="P2" s="161">
        <v>14</v>
      </c>
      <c r="Q2" s="161">
        <v>-999</v>
      </c>
      <c r="R2" s="161">
        <v>-999</v>
      </c>
      <c r="S2" s="161">
        <v>1</v>
      </c>
      <c r="T2" s="161">
        <v>1</v>
      </c>
      <c r="U2" s="161">
        <v>-999</v>
      </c>
      <c r="V2" s="161">
        <v>68.569999999999993</v>
      </c>
      <c r="W2" s="161">
        <v>5.21</v>
      </c>
      <c r="X2" s="161">
        <v>63.7</v>
      </c>
      <c r="Y2" s="161">
        <v>6.05</v>
      </c>
      <c r="Z2" s="161">
        <v>-999</v>
      </c>
      <c r="AA2" s="161">
        <v>-999</v>
      </c>
      <c r="AB2" s="161">
        <v>-999</v>
      </c>
      <c r="AC2" s="161">
        <v>-999</v>
      </c>
      <c r="AD2" s="161">
        <v>-999</v>
      </c>
      <c r="AE2" s="161">
        <v>-999</v>
      </c>
      <c r="AF2" s="161">
        <v>-999</v>
      </c>
      <c r="AG2" s="161">
        <v>-999</v>
      </c>
      <c r="AH2" s="161">
        <v>-999</v>
      </c>
      <c r="AI2" s="161">
        <v>-999</v>
      </c>
      <c r="AJ2" s="161">
        <v>0</v>
      </c>
      <c r="AK2" s="161">
        <v>0</v>
      </c>
      <c r="AL2" s="161">
        <v>0</v>
      </c>
      <c r="AM2" s="161">
        <v>0</v>
      </c>
      <c r="AN2" s="161">
        <v>42.41</v>
      </c>
      <c r="AO2" s="161">
        <v>12.12</v>
      </c>
      <c r="AP2" s="161">
        <v>0</v>
      </c>
      <c r="AQ2" s="161">
        <v>0</v>
      </c>
      <c r="AR2" s="161">
        <v>2</v>
      </c>
      <c r="AS2" s="161" t="s">
        <v>518</v>
      </c>
      <c r="AT2" s="161" t="s">
        <v>518</v>
      </c>
      <c r="AU2" s="161" t="s">
        <v>517</v>
      </c>
      <c r="AV2" s="161" t="s">
        <v>517</v>
      </c>
      <c r="AW2" s="161">
        <v>40</v>
      </c>
      <c r="AX2" s="161" t="s">
        <v>762</v>
      </c>
      <c r="AY2" s="161">
        <v>-99</v>
      </c>
      <c r="AZ2" s="161">
        <v>-99</v>
      </c>
      <c r="BA2" s="161">
        <v>15</v>
      </c>
      <c r="BB2" s="161">
        <v>60</v>
      </c>
      <c r="BC2" s="161">
        <v>30</v>
      </c>
      <c r="BD2" s="161" t="s">
        <v>764</v>
      </c>
      <c r="BE2" s="161" t="s">
        <v>773</v>
      </c>
      <c r="BF2" s="161">
        <v>1</v>
      </c>
      <c r="BG2" s="161" t="s">
        <v>549</v>
      </c>
      <c r="BH2" s="161">
        <v>1</v>
      </c>
      <c r="BI2" s="161">
        <v>1</v>
      </c>
      <c r="BJ2" s="161">
        <v>0</v>
      </c>
      <c r="BK2" s="161">
        <v>-999</v>
      </c>
      <c r="BL2" s="161">
        <v>-999</v>
      </c>
      <c r="BM2" s="164">
        <v>14.78</v>
      </c>
      <c r="BN2" s="164">
        <v>5.95</v>
      </c>
      <c r="BO2" s="164">
        <v>14.83</v>
      </c>
      <c r="BP2" s="164">
        <v>4.54</v>
      </c>
      <c r="BU2" s="164">
        <v>16.43</v>
      </c>
      <c r="BV2" s="164">
        <v>7.31</v>
      </c>
      <c r="BW2" s="164">
        <v>13.48</v>
      </c>
      <c r="BX2" s="164">
        <v>4.82</v>
      </c>
      <c r="BY2" s="164">
        <v>16.21</v>
      </c>
      <c r="BZ2" s="164">
        <v>7.36</v>
      </c>
      <c r="CA2" s="164">
        <v>14.1</v>
      </c>
      <c r="CB2" s="164">
        <v>4.68</v>
      </c>
    </row>
    <row r="3" spans="1:91" s="161" customFormat="1" x14ac:dyDescent="0.3">
      <c r="A3" s="158"/>
      <c r="B3" s="158"/>
      <c r="C3" s="166"/>
      <c r="D3" s="160"/>
      <c r="E3" s="158"/>
      <c r="BE3" s="161" t="s">
        <v>774</v>
      </c>
      <c r="BF3" s="161">
        <v>1</v>
      </c>
      <c r="BG3" s="161" t="s">
        <v>549</v>
      </c>
      <c r="BH3" s="161">
        <v>1</v>
      </c>
      <c r="BM3" s="164">
        <v>1.04</v>
      </c>
      <c r="BN3" s="164">
        <v>1.3</v>
      </c>
      <c r="BO3" s="164">
        <v>1</v>
      </c>
      <c r="BP3" s="164">
        <v>1.21</v>
      </c>
      <c r="BU3" s="164">
        <v>2.91</v>
      </c>
      <c r="BV3" s="164">
        <v>4.1100000000000003</v>
      </c>
      <c r="BW3" s="164">
        <v>0.87</v>
      </c>
      <c r="BX3" s="164">
        <v>1.42</v>
      </c>
      <c r="BY3" s="164">
        <v>3.29</v>
      </c>
      <c r="BZ3" s="164">
        <v>2.0499999999999998</v>
      </c>
      <c r="CA3" s="164">
        <v>1.05</v>
      </c>
      <c r="CB3" s="164">
        <v>1.64</v>
      </c>
    </row>
    <row r="4" spans="1:91" s="161" customFormat="1" x14ac:dyDescent="0.3">
      <c r="A4" s="158"/>
      <c r="B4" s="158"/>
      <c r="C4" s="166"/>
      <c r="D4" s="160"/>
      <c r="E4" s="158"/>
      <c r="BE4" s="161" t="s">
        <v>775</v>
      </c>
      <c r="BF4" s="161">
        <v>1</v>
      </c>
      <c r="BG4" s="161" t="s">
        <v>549</v>
      </c>
      <c r="BH4" s="161">
        <v>1</v>
      </c>
      <c r="BM4" s="164">
        <v>6.09</v>
      </c>
      <c r="BN4" s="164">
        <v>3.48</v>
      </c>
      <c r="BO4" s="164">
        <v>5.65</v>
      </c>
      <c r="BP4" s="164">
        <v>2.98</v>
      </c>
      <c r="BU4" s="164">
        <v>6.57</v>
      </c>
      <c r="BV4" s="164">
        <v>3.82</v>
      </c>
      <c r="BW4" s="164">
        <v>5.43</v>
      </c>
      <c r="BX4" s="164">
        <v>3.95</v>
      </c>
      <c r="BY4" s="164">
        <v>5</v>
      </c>
      <c r="BZ4" s="164">
        <v>3.61</v>
      </c>
      <c r="CA4" s="164">
        <v>5.65</v>
      </c>
      <c r="CB4" s="164">
        <v>2.96</v>
      </c>
    </row>
    <row r="5" spans="1:91" s="161" customFormat="1" x14ac:dyDescent="0.3">
      <c r="A5" s="158" t="s">
        <v>99</v>
      </c>
      <c r="B5" s="219" t="s">
        <v>105</v>
      </c>
      <c r="C5" s="159" t="s">
        <v>189</v>
      </c>
      <c r="D5" s="160">
        <v>2022</v>
      </c>
      <c r="E5" s="158">
        <v>61</v>
      </c>
      <c r="F5" s="161">
        <v>0</v>
      </c>
      <c r="G5" s="161">
        <v>1</v>
      </c>
      <c r="H5" s="162" t="s">
        <v>512</v>
      </c>
      <c r="I5" s="162" t="s">
        <v>513</v>
      </c>
      <c r="J5" s="161">
        <v>60</v>
      </c>
      <c r="K5" s="161">
        <v>60</v>
      </c>
      <c r="L5" s="161">
        <v>-999</v>
      </c>
      <c r="M5" s="161">
        <v>29</v>
      </c>
      <c r="N5" s="161">
        <v>31</v>
      </c>
      <c r="O5" s="161">
        <v>29</v>
      </c>
      <c r="P5" s="161">
        <v>31</v>
      </c>
      <c r="Q5" s="161">
        <v>-999</v>
      </c>
      <c r="R5" s="161">
        <v>-999</v>
      </c>
      <c r="S5" s="161">
        <v>0</v>
      </c>
      <c r="T5" s="161">
        <v>0</v>
      </c>
      <c r="U5" s="161">
        <v>-999</v>
      </c>
      <c r="V5" s="161">
        <v>72.3</v>
      </c>
      <c r="W5" s="161">
        <v>7</v>
      </c>
      <c r="X5" s="161">
        <v>72.3</v>
      </c>
      <c r="Y5" s="161">
        <v>7</v>
      </c>
      <c r="Z5" s="161">
        <v>-999</v>
      </c>
      <c r="AA5" s="161">
        <v>-999</v>
      </c>
      <c r="AB5" s="161">
        <v>37.200000000000003</v>
      </c>
      <c r="AC5" s="161">
        <v>28.8</v>
      </c>
      <c r="AD5" s="161">
        <v>37.200000000000003</v>
      </c>
      <c r="AE5" s="161">
        <v>28.8</v>
      </c>
      <c r="AF5" s="161">
        <v>-999</v>
      </c>
      <c r="AG5" s="161">
        <v>-999</v>
      </c>
      <c r="AH5" s="161">
        <v>-999</v>
      </c>
      <c r="AI5" s="161">
        <v>-999</v>
      </c>
      <c r="AJ5" s="161">
        <v>0</v>
      </c>
      <c r="AK5" s="161">
        <v>0</v>
      </c>
      <c r="AL5" s="161">
        <v>0</v>
      </c>
      <c r="AM5" s="161">
        <v>-999</v>
      </c>
      <c r="AN5" s="162">
        <v>33</v>
      </c>
      <c r="AO5" s="162">
        <v>33</v>
      </c>
      <c r="AP5" s="161">
        <v>0</v>
      </c>
      <c r="AQ5" s="161">
        <v>0</v>
      </c>
      <c r="AR5" s="161">
        <v>0</v>
      </c>
      <c r="AS5" s="162" t="s">
        <v>776</v>
      </c>
      <c r="AT5" s="163" t="s">
        <v>776</v>
      </c>
      <c r="AU5" s="162" t="s">
        <v>777</v>
      </c>
      <c r="AV5" s="161" t="s">
        <v>777</v>
      </c>
      <c r="AW5" s="161">
        <v>40</v>
      </c>
      <c r="AX5" s="162" t="s">
        <v>762</v>
      </c>
      <c r="AY5" s="161">
        <v>-999</v>
      </c>
      <c r="AZ5" s="161">
        <v>-999</v>
      </c>
      <c r="BA5" s="161">
        <v>3</v>
      </c>
      <c r="BB5" s="161">
        <v>60</v>
      </c>
      <c r="BC5" s="161">
        <v>1</v>
      </c>
      <c r="BD5" s="161" t="s">
        <v>781</v>
      </c>
      <c r="BE5" s="161" t="s">
        <v>773</v>
      </c>
      <c r="BF5" s="161">
        <v>1</v>
      </c>
      <c r="BG5" s="161" t="s">
        <v>549</v>
      </c>
      <c r="BH5" s="161">
        <v>1</v>
      </c>
      <c r="BI5" s="161">
        <v>1</v>
      </c>
      <c r="BJ5" s="161">
        <v>0</v>
      </c>
      <c r="BK5" s="161">
        <v>-999</v>
      </c>
      <c r="BL5" s="161">
        <v>-999</v>
      </c>
      <c r="BM5" s="161">
        <v>18.399999999999999</v>
      </c>
      <c r="BN5" s="161">
        <v>6.9</v>
      </c>
      <c r="BO5" s="161">
        <v>20.3</v>
      </c>
      <c r="BP5" s="161">
        <v>6.5</v>
      </c>
      <c r="BU5" s="164">
        <v>25.6</v>
      </c>
      <c r="BV5" s="164">
        <v>8.4</v>
      </c>
      <c r="BW5" s="164">
        <v>18.7</v>
      </c>
      <c r="BX5" s="164">
        <v>6.3</v>
      </c>
    </row>
    <row r="6" spans="1:91" s="161" customFormat="1" x14ac:dyDescent="0.3">
      <c r="A6" s="158"/>
      <c r="B6" s="158"/>
      <c r="C6" s="159"/>
      <c r="D6" s="160"/>
      <c r="E6" s="158"/>
      <c r="BE6" s="161" t="s">
        <v>774</v>
      </c>
      <c r="BF6" s="161">
        <v>1</v>
      </c>
      <c r="BG6" s="161" t="s">
        <v>549</v>
      </c>
      <c r="BH6" s="161">
        <v>1</v>
      </c>
      <c r="BM6" s="164">
        <v>1.5</v>
      </c>
      <c r="BN6" s="164">
        <v>1.4</v>
      </c>
      <c r="BO6" s="164">
        <v>1.4</v>
      </c>
      <c r="BP6" s="164">
        <v>1.5</v>
      </c>
      <c r="BU6" s="164">
        <v>2.5</v>
      </c>
      <c r="BV6" s="164">
        <v>2.1</v>
      </c>
      <c r="BW6" s="164">
        <v>1</v>
      </c>
      <c r="BX6" s="164">
        <v>1.2</v>
      </c>
    </row>
    <row r="7" spans="1:91" s="161" customFormat="1" x14ac:dyDescent="0.3">
      <c r="A7" s="158"/>
      <c r="B7" s="158"/>
      <c r="C7" s="159"/>
      <c r="D7" s="160"/>
      <c r="E7" s="158"/>
      <c r="BE7" s="165" t="s">
        <v>775</v>
      </c>
      <c r="BF7" s="161">
        <v>1</v>
      </c>
      <c r="BG7" s="161" t="s">
        <v>549</v>
      </c>
      <c r="BH7" s="161">
        <v>1</v>
      </c>
      <c r="BM7" s="161">
        <v>-999</v>
      </c>
      <c r="BN7" s="161">
        <v>-999</v>
      </c>
      <c r="BO7" s="161">
        <v>-999</v>
      </c>
      <c r="BP7" s="161">
        <v>-999</v>
      </c>
      <c r="BU7" s="161">
        <v>-999</v>
      </c>
      <c r="BV7" s="161">
        <v>-999</v>
      </c>
      <c r="BW7" s="161">
        <v>-999</v>
      </c>
      <c r="BX7" s="161">
        <v>-999</v>
      </c>
    </row>
    <row r="8" spans="1:91" s="161" customFormat="1" x14ac:dyDescent="0.3">
      <c r="A8" s="206" t="s">
        <v>99</v>
      </c>
      <c r="B8" s="220" t="s">
        <v>109</v>
      </c>
      <c r="C8" s="207" t="s">
        <v>205</v>
      </c>
      <c r="D8" s="208">
        <v>2021</v>
      </c>
      <c r="E8" s="206">
        <v>65</v>
      </c>
      <c r="F8" s="161">
        <v>0</v>
      </c>
      <c r="G8" s="161">
        <v>1</v>
      </c>
      <c r="H8" s="161" t="s">
        <v>512</v>
      </c>
      <c r="I8" s="161" t="s">
        <v>513</v>
      </c>
      <c r="J8" s="161">
        <v>20</v>
      </c>
      <c r="K8" s="161">
        <v>20</v>
      </c>
      <c r="L8" s="161">
        <v>-999</v>
      </c>
      <c r="M8" s="161">
        <v>10</v>
      </c>
      <c r="N8" s="161">
        <v>10</v>
      </c>
      <c r="O8" s="161">
        <v>10</v>
      </c>
      <c r="P8" s="161">
        <v>10</v>
      </c>
      <c r="Q8" s="161">
        <v>-999</v>
      </c>
      <c r="R8" s="161">
        <v>-999</v>
      </c>
      <c r="S8" s="161">
        <v>0</v>
      </c>
      <c r="T8" s="161">
        <v>0</v>
      </c>
      <c r="U8" s="161">
        <v>-999</v>
      </c>
      <c r="V8" s="161">
        <v>71.900000000000006</v>
      </c>
      <c r="W8" s="161">
        <v>7</v>
      </c>
      <c r="X8" s="161">
        <v>71.900000000000006</v>
      </c>
      <c r="Y8" s="161">
        <v>7</v>
      </c>
      <c r="Z8" s="161">
        <v>-999</v>
      </c>
      <c r="AA8" s="161">
        <v>-999</v>
      </c>
      <c r="AB8" s="161">
        <v>33.6</v>
      </c>
      <c r="AC8" s="161">
        <v>22.8</v>
      </c>
      <c r="AD8" s="161">
        <v>33.6</v>
      </c>
      <c r="AE8" s="161">
        <v>22.8</v>
      </c>
      <c r="AF8" s="161">
        <v>-999</v>
      </c>
      <c r="AG8" s="161">
        <v>-999</v>
      </c>
      <c r="AH8" s="161">
        <v>-999</v>
      </c>
      <c r="AI8" s="161">
        <v>-999</v>
      </c>
      <c r="AJ8" s="161">
        <v>0</v>
      </c>
      <c r="AK8" s="161">
        <v>0</v>
      </c>
      <c r="AL8" s="161">
        <v>0</v>
      </c>
      <c r="AM8" s="161">
        <v>-999</v>
      </c>
      <c r="AN8" s="161">
        <v>33</v>
      </c>
      <c r="AO8" s="161">
        <v>33</v>
      </c>
      <c r="AP8" s="161">
        <v>0</v>
      </c>
      <c r="AQ8" s="161">
        <v>0</v>
      </c>
      <c r="AR8" s="161">
        <v>0</v>
      </c>
      <c r="AS8" s="161" t="s">
        <v>776</v>
      </c>
      <c r="AT8" s="161" t="s">
        <v>776</v>
      </c>
      <c r="AU8" s="161" t="s">
        <v>777</v>
      </c>
      <c r="AV8" s="161" t="s">
        <v>777</v>
      </c>
      <c r="AW8" s="161">
        <v>40</v>
      </c>
      <c r="AX8" s="161" t="s">
        <v>762</v>
      </c>
      <c r="AY8" s="161">
        <v>-999</v>
      </c>
      <c r="AZ8" s="161">
        <v>-999</v>
      </c>
      <c r="BA8" s="161">
        <v>3</v>
      </c>
      <c r="BB8" s="161">
        <v>60</v>
      </c>
      <c r="BC8" s="161">
        <v>1</v>
      </c>
      <c r="BD8" s="161" t="s">
        <v>764</v>
      </c>
      <c r="BE8" s="161" t="s">
        <v>773</v>
      </c>
      <c r="BF8" s="161">
        <v>1</v>
      </c>
      <c r="BG8" s="161" t="s">
        <v>549</v>
      </c>
      <c r="BH8" s="161">
        <v>1</v>
      </c>
      <c r="BI8" s="161">
        <v>1</v>
      </c>
      <c r="BJ8" s="161">
        <v>0</v>
      </c>
      <c r="BK8" s="161">
        <v>-999</v>
      </c>
      <c r="BL8" s="161">
        <v>-999</v>
      </c>
      <c r="BM8" s="164">
        <v>18.899999999999999</v>
      </c>
      <c r="BN8" s="164">
        <v>8.4</v>
      </c>
      <c r="BO8" s="164">
        <v>19.5</v>
      </c>
      <c r="BP8" s="164">
        <v>6.6</v>
      </c>
      <c r="BU8" s="164">
        <v>25.1</v>
      </c>
      <c r="BV8" s="164">
        <v>8.6999999999999993</v>
      </c>
      <c r="BW8" s="164">
        <v>19.399999999999999</v>
      </c>
      <c r="BX8" s="164">
        <v>6.8</v>
      </c>
    </row>
    <row r="9" spans="1:91" s="161" customFormat="1" x14ac:dyDescent="0.3">
      <c r="A9" s="206"/>
      <c r="B9" s="206"/>
      <c r="C9" s="207"/>
      <c r="D9" s="208"/>
      <c r="E9" s="206"/>
      <c r="BE9" s="161" t="s">
        <v>774</v>
      </c>
      <c r="BF9" s="161">
        <v>2</v>
      </c>
      <c r="BG9" s="161" t="s">
        <v>549</v>
      </c>
      <c r="BH9" s="161">
        <v>1</v>
      </c>
      <c r="BM9" s="164">
        <v>1.7</v>
      </c>
      <c r="BN9" s="164">
        <v>1.4</v>
      </c>
      <c r="BO9" s="164">
        <v>1.5</v>
      </c>
      <c r="BP9" s="164">
        <v>1.5</v>
      </c>
      <c r="BU9" s="164">
        <v>2.8</v>
      </c>
      <c r="BV9" s="164">
        <v>1.9</v>
      </c>
      <c r="BW9" s="164">
        <v>1.6</v>
      </c>
      <c r="BX9" s="164">
        <v>1.5</v>
      </c>
    </row>
    <row r="10" spans="1:91" s="161" customFormat="1" x14ac:dyDescent="0.3">
      <c r="A10" s="206"/>
      <c r="B10" s="206"/>
      <c r="C10" s="207"/>
      <c r="D10" s="208"/>
      <c r="E10" s="206"/>
      <c r="BE10" s="165" t="s">
        <v>775</v>
      </c>
      <c r="BF10" s="161">
        <v>3</v>
      </c>
      <c r="BG10" s="161" t="s">
        <v>549</v>
      </c>
      <c r="BH10" s="161">
        <v>1</v>
      </c>
      <c r="BM10" s="161">
        <v>-999</v>
      </c>
      <c r="BN10" s="161">
        <v>-999</v>
      </c>
      <c r="BO10" s="161">
        <v>-999</v>
      </c>
      <c r="BP10" s="161">
        <v>-999</v>
      </c>
      <c r="BU10" s="161">
        <v>-999</v>
      </c>
      <c r="BV10" s="161">
        <v>-999</v>
      </c>
      <c r="BW10" s="161">
        <v>-999</v>
      </c>
      <c r="BX10" s="161">
        <v>-999</v>
      </c>
    </row>
    <row r="11" spans="1:91" s="171" customFormat="1" x14ac:dyDescent="0.3">
      <c r="A11" s="171" t="s">
        <v>120</v>
      </c>
      <c r="B11" s="221" t="s">
        <v>282</v>
      </c>
      <c r="C11" s="177" t="s">
        <v>189</v>
      </c>
      <c r="D11" s="176">
        <v>2024</v>
      </c>
      <c r="E11" s="177">
        <v>57</v>
      </c>
      <c r="F11" s="171">
        <v>0</v>
      </c>
      <c r="G11" s="171">
        <v>1</v>
      </c>
      <c r="H11" s="171" t="s">
        <v>782</v>
      </c>
      <c r="I11" s="171" t="s">
        <v>513</v>
      </c>
      <c r="J11" s="171">
        <v>14</v>
      </c>
      <c r="K11" s="171">
        <v>14</v>
      </c>
      <c r="L11" s="171">
        <v>-999</v>
      </c>
      <c r="M11" s="171">
        <v>7</v>
      </c>
      <c r="N11" s="171">
        <v>7</v>
      </c>
      <c r="O11" s="171">
        <v>7</v>
      </c>
      <c r="P11" s="171">
        <v>7</v>
      </c>
      <c r="Q11" s="171">
        <v>-999</v>
      </c>
      <c r="R11" s="171">
        <v>-999</v>
      </c>
      <c r="S11" s="171">
        <v>0</v>
      </c>
      <c r="T11" s="171">
        <v>0</v>
      </c>
      <c r="U11" s="171">
        <v>-999</v>
      </c>
      <c r="V11" s="171">
        <v>73.099999999999994</v>
      </c>
      <c r="W11" s="171">
        <v>5.9</v>
      </c>
      <c r="X11" s="171">
        <v>73.099999999999994</v>
      </c>
      <c r="Y11" s="171">
        <v>5.9</v>
      </c>
      <c r="Z11" s="171">
        <v>-999</v>
      </c>
      <c r="AA11" s="171">
        <v>-999</v>
      </c>
      <c r="AB11" s="171">
        <v>51.6</v>
      </c>
      <c r="AC11" s="171">
        <v>27.6</v>
      </c>
      <c r="AD11" s="171">
        <v>51.6</v>
      </c>
      <c r="AE11" s="171">
        <v>27.6</v>
      </c>
      <c r="AF11" s="171">
        <v>-999</v>
      </c>
      <c r="AG11" s="171">
        <v>-999</v>
      </c>
      <c r="AH11" s="171">
        <v>-999</v>
      </c>
      <c r="AI11" s="171">
        <v>-999</v>
      </c>
      <c r="AJ11" s="171">
        <v>0</v>
      </c>
      <c r="AK11" s="171">
        <v>0</v>
      </c>
      <c r="AL11" s="171">
        <v>0</v>
      </c>
      <c r="AM11" s="171">
        <v>-999</v>
      </c>
      <c r="AN11" s="171">
        <v>33</v>
      </c>
      <c r="AO11" s="171">
        <v>33</v>
      </c>
      <c r="AP11" s="171">
        <v>0</v>
      </c>
      <c r="AQ11" s="171">
        <v>0</v>
      </c>
      <c r="AR11" s="171">
        <v>0</v>
      </c>
      <c r="AS11" s="171" t="s">
        <v>783</v>
      </c>
      <c r="AT11" s="171" t="s">
        <v>783</v>
      </c>
      <c r="AU11" s="171" t="s">
        <v>777</v>
      </c>
      <c r="AV11" s="171" t="s">
        <v>777</v>
      </c>
      <c r="AW11" s="171">
        <v>12</v>
      </c>
      <c r="AX11" s="171" t="s">
        <v>762</v>
      </c>
      <c r="AY11" s="171">
        <v>-999</v>
      </c>
      <c r="AZ11" s="171">
        <v>-999</v>
      </c>
      <c r="BA11" s="171">
        <v>3</v>
      </c>
      <c r="BB11" s="171">
        <v>60</v>
      </c>
      <c r="BC11" s="171">
        <v>1</v>
      </c>
      <c r="BD11" s="171" t="s">
        <v>764</v>
      </c>
      <c r="BE11" s="171" t="s">
        <v>773</v>
      </c>
      <c r="BF11" s="171">
        <v>1</v>
      </c>
      <c r="BG11" s="171" t="s">
        <v>549</v>
      </c>
      <c r="BH11" s="171">
        <v>1</v>
      </c>
      <c r="BI11" s="171">
        <v>1</v>
      </c>
      <c r="BJ11" s="171">
        <v>0</v>
      </c>
      <c r="BK11" s="171">
        <v>-999</v>
      </c>
      <c r="BL11" s="171">
        <v>-999</v>
      </c>
      <c r="CJ11" s="171">
        <v>4.5</v>
      </c>
      <c r="CK11" s="171">
        <v>4.93</v>
      </c>
      <c r="CL11" s="171">
        <v>1.9</v>
      </c>
      <c r="CM11" s="171">
        <v>2.86</v>
      </c>
    </row>
    <row r="12" spans="1:91" s="171" customFormat="1" x14ac:dyDescent="0.3">
      <c r="C12" s="177"/>
      <c r="D12" s="176"/>
      <c r="E12" s="177"/>
      <c r="BE12" s="171" t="s">
        <v>774</v>
      </c>
      <c r="BF12" s="171">
        <v>1</v>
      </c>
      <c r="BG12" s="171" t="s">
        <v>549</v>
      </c>
      <c r="BH12" s="171">
        <v>1</v>
      </c>
      <c r="CJ12" s="171">
        <v>0.1</v>
      </c>
      <c r="CK12" s="171">
        <v>2.34</v>
      </c>
      <c r="CL12" s="171">
        <v>-0.1</v>
      </c>
      <c r="CM12" s="171">
        <v>0.26</v>
      </c>
    </row>
    <row r="13" spans="1:91" s="171" customFormat="1" x14ac:dyDescent="0.3">
      <c r="C13" s="177"/>
      <c r="D13" s="176"/>
      <c r="E13" s="177"/>
      <c r="BE13" s="205" t="s">
        <v>775</v>
      </c>
      <c r="BF13" s="171">
        <v>1</v>
      </c>
      <c r="BG13" s="171" t="s">
        <v>549</v>
      </c>
      <c r="BH13" s="171">
        <v>1</v>
      </c>
    </row>
    <row r="14" spans="1:91" s="161" customFormat="1" x14ac:dyDescent="0.3">
      <c r="A14" s="164" t="s">
        <v>117</v>
      </c>
      <c r="B14" s="219" t="s">
        <v>314</v>
      </c>
      <c r="C14" s="167" t="s">
        <v>335</v>
      </c>
      <c r="D14" s="160">
        <v>2025</v>
      </c>
      <c r="E14" s="167">
        <v>93</v>
      </c>
      <c r="F14" s="161">
        <v>0</v>
      </c>
      <c r="G14" s="161">
        <v>1</v>
      </c>
      <c r="H14" s="162" t="s">
        <v>512</v>
      </c>
      <c r="I14" s="161" t="s">
        <v>513</v>
      </c>
      <c r="J14" s="161">
        <v>11</v>
      </c>
      <c r="K14" s="161">
        <v>11</v>
      </c>
      <c r="L14" s="161">
        <v>-999</v>
      </c>
      <c r="M14" s="161">
        <v>2</v>
      </c>
      <c r="N14" s="161">
        <v>9</v>
      </c>
      <c r="O14" s="161">
        <v>2</v>
      </c>
      <c r="P14" s="161">
        <v>9</v>
      </c>
      <c r="Q14" s="161">
        <v>-999</v>
      </c>
      <c r="R14" s="161">
        <v>-999</v>
      </c>
      <c r="S14" s="161">
        <v>0</v>
      </c>
      <c r="T14" s="161">
        <v>0</v>
      </c>
      <c r="U14" s="161">
        <v>-999</v>
      </c>
      <c r="Z14" s="161">
        <v>-999</v>
      </c>
      <c r="AA14" s="161">
        <v>-999</v>
      </c>
      <c r="AJ14" s="161">
        <v>0</v>
      </c>
      <c r="AK14" s="161">
        <v>0</v>
      </c>
      <c r="AL14" s="161">
        <v>0</v>
      </c>
      <c r="AM14" s="161">
        <v>-999</v>
      </c>
      <c r="AN14" s="161">
        <v>25</v>
      </c>
      <c r="AO14" s="161">
        <v>25</v>
      </c>
      <c r="AP14" s="161">
        <v>0</v>
      </c>
      <c r="AQ14" s="161">
        <v>0</v>
      </c>
      <c r="AR14" s="161">
        <v>0</v>
      </c>
      <c r="AS14" s="161" t="s">
        <v>776</v>
      </c>
      <c r="AT14" s="161" t="s">
        <v>776</v>
      </c>
      <c r="AU14" s="161" t="s">
        <v>770</v>
      </c>
      <c r="AV14" s="161" t="s">
        <v>770</v>
      </c>
      <c r="AW14" s="161">
        <v>40</v>
      </c>
      <c r="AX14" s="161" t="s">
        <v>762</v>
      </c>
      <c r="AY14" s="161">
        <v>3</v>
      </c>
      <c r="AZ14" s="161">
        <v>3</v>
      </c>
      <c r="BA14" s="161">
        <v>1.5</v>
      </c>
      <c r="BB14" s="161">
        <v>30</v>
      </c>
      <c r="BC14" s="161">
        <v>1</v>
      </c>
      <c r="BD14" s="161" t="s">
        <v>778</v>
      </c>
      <c r="BE14" s="161" t="s">
        <v>773</v>
      </c>
      <c r="BF14" s="161">
        <v>1</v>
      </c>
      <c r="BG14" s="161" t="s">
        <v>549</v>
      </c>
      <c r="BH14" s="161">
        <v>1</v>
      </c>
      <c r="BI14" s="161">
        <v>1</v>
      </c>
      <c r="BJ14" s="191" t="s">
        <v>784</v>
      </c>
      <c r="BK14" s="161">
        <v>-999</v>
      </c>
      <c r="BL14" s="161">
        <v>-999</v>
      </c>
      <c r="BM14" s="161">
        <v>34.799999999999997</v>
      </c>
      <c r="BN14" s="161">
        <v>7.95</v>
      </c>
      <c r="BO14" s="161">
        <v>41.4</v>
      </c>
      <c r="BP14" s="161">
        <v>8.6300000000000008</v>
      </c>
      <c r="BQ14" s="161">
        <v>49.9</v>
      </c>
      <c r="BR14" s="161">
        <v>14.4</v>
      </c>
      <c r="BS14" s="161">
        <v>37.700000000000003</v>
      </c>
      <c r="BT14" s="161">
        <v>12.3</v>
      </c>
      <c r="BU14" s="161">
        <v>35.200000000000003</v>
      </c>
      <c r="BV14" s="161">
        <v>10.5</v>
      </c>
      <c r="BW14" s="161">
        <v>36.299999999999997</v>
      </c>
      <c r="BX14" s="161">
        <v>12.6</v>
      </c>
    </row>
    <row r="15" spans="1:91" s="161" customFormat="1" x14ac:dyDescent="0.3">
      <c r="A15" s="161" t="s">
        <v>99</v>
      </c>
      <c r="B15" s="158" t="s">
        <v>499</v>
      </c>
      <c r="C15" s="212" t="s">
        <v>500</v>
      </c>
      <c r="D15" s="212">
        <v>2029</v>
      </c>
      <c r="F15" s="161">
        <v>1</v>
      </c>
      <c r="G15" s="161">
        <v>1</v>
      </c>
      <c r="H15" s="161" t="s">
        <v>807</v>
      </c>
      <c r="I15" s="161" t="s">
        <v>513</v>
      </c>
      <c r="J15" s="161">
        <v>26</v>
      </c>
      <c r="K15" s="161">
        <v>24</v>
      </c>
      <c r="L15" s="161">
        <v>-99</v>
      </c>
      <c r="M15" s="161">
        <v>13</v>
      </c>
      <c r="N15" s="161">
        <v>13</v>
      </c>
      <c r="O15" s="161">
        <v>12</v>
      </c>
      <c r="P15" s="161">
        <v>12</v>
      </c>
      <c r="Q15" s="161">
        <v>-99</v>
      </c>
      <c r="R15" s="161">
        <v>-99</v>
      </c>
      <c r="S15" s="161">
        <v>-99</v>
      </c>
      <c r="T15" s="161">
        <v>-99</v>
      </c>
      <c r="U15" s="161">
        <v>-99</v>
      </c>
      <c r="V15" s="161">
        <v>66.400000000000006</v>
      </c>
      <c r="W15" s="161">
        <v>7.1</v>
      </c>
      <c r="X15" s="161">
        <v>63.8</v>
      </c>
      <c r="Y15" s="161">
        <v>8.5</v>
      </c>
      <c r="Z15" s="161">
        <v>-99</v>
      </c>
      <c r="AA15" s="161">
        <v>-99</v>
      </c>
      <c r="AB15" s="161">
        <v>-99</v>
      </c>
      <c r="AC15" s="161">
        <v>-99</v>
      </c>
      <c r="AD15" s="161">
        <v>-99</v>
      </c>
      <c r="AE15" s="161">
        <v>-99</v>
      </c>
      <c r="AF15" s="161">
        <v>-99</v>
      </c>
      <c r="AG15" s="161">
        <v>-99</v>
      </c>
      <c r="AH15" s="161">
        <v>-99</v>
      </c>
      <c r="AI15" s="161">
        <v>-99</v>
      </c>
      <c r="AJ15" s="161">
        <v>0</v>
      </c>
      <c r="AK15" s="161">
        <v>0</v>
      </c>
      <c r="AL15" s="161">
        <v>0</v>
      </c>
      <c r="AM15" s="161">
        <v>0</v>
      </c>
      <c r="AN15" s="165">
        <v>33</v>
      </c>
      <c r="AO15" s="165">
        <v>33</v>
      </c>
      <c r="AP15" s="165">
        <v>0</v>
      </c>
      <c r="AQ15" s="165">
        <v>0</v>
      </c>
      <c r="AR15" s="161">
        <v>0</v>
      </c>
      <c r="AS15" s="161" t="s">
        <v>776</v>
      </c>
      <c r="AT15" s="161" t="s">
        <v>776</v>
      </c>
      <c r="AU15" s="161" t="s">
        <v>777</v>
      </c>
      <c r="AV15" s="161" t="s">
        <v>777</v>
      </c>
      <c r="AW15" s="161">
        <v>40</v>
      </c>
      <c r="AX15" s="161" t="s">
        <v>762</v>
      </c>
      <c r="AY15" s="161">
        <v>-99</v>
      </c>
      <c r="AZ15" s="161">
        <v>-99</v>
      </c>
      <c r="BA15" s="161">
        <v>3</v>
      </c>
      <c r="BB15" s="161">
        <v>60</v>
      </c>
      <c r="BC15" s="161">
        <v>40</v>
      </c>
      <c r="BD15" s="161" t="s">
        <v>781</v>
      </c>
      <c r="BE15" s="161" t="s">
        <v>773</v>
      </c>
      <c r="BF15" s="161">
        <v>2</v>
      </c>
      <c r="BG15" s="161" t="s">
        <v>549</v>
      </c>
      <c r="BH15" s="161">
        <v>1</v>
      </c>
      <c r="BK15" s="161">
        <v>-99</v>
      </c>
      <c r="BL15" s="161">
        <v>-99</v>
      </c>
      <c r="BM15" s="161">
        <v>22.7</v>
      </c>
      <c r="BN15" s="161">
        <v>10.1</v>
      </c>
      <c r="BO15" s="161">
        <v>20.399999999999999</v>
      </c>
      <c r="BP15" s="161">
        <v>8.5</v>
      </c>
      <c r="BU15" s="161">
        <v>23.3</v>
      </c>
      <c r="BV15" s="161">
        <v>9.6999999999999993</v>
      </c>
      <c r="BW15" s="161">
        <v>17.3</v>
      </c>
      <c r="BX15" s="161">
        <v>6.1</v>
      </c>
    </row>
    <row r="16" spans="1:91" s="161" customFormat="1" x14ac:dyDescent="0.3">
      <c r="BE16" s="161" t="s">
        <v>774</v>
      </c>
      <c r="BF16" s="161">
        <v>3</v>
      </c>
      <c r="BG16" s="161" t="s">
        <v>549</v>
      </c>
      <c r="BH16" s="161">
        <v>1</v>
      </c>
      <c r="BM16" s="161">
        <v>2</v>
      </c>
      <c r="BN16" s="161">
        <v>2</v>
      </c>
      <c r="BO16" s="161">
        <v>1.5</v>
      </c>
      <c r="BP16" s="161">
        <v>2.1</v>
      </c>
      <c r="BU16" s="161">
        <v>2.1</v>
      </c>
      <c r="BV16" s="161">
        <v>2.5</v>
      </c>
      <c r="BW16" s="161">
        <v>0.8</v>
      </c>
      <c r="BX16" s="161">
        <v>1.3</v>
      </c>
    </row>
    <row r="17" spans="1:5" x14ac:dyDescent="0.3">
      <c r="A17" s="2"/>
      <c r="C17" s="14"/>
      <c r="D17" s="3"/>
      <c r="E17" s="2"/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E401-E7C8-4DEE-A8C1-E244B02EC2C8}">
  <dimension ref="A1:CI8"/>
  <sheetViews>
    <sheetView workbookViewId="0">
      <selection activeCell="D14" sqref="D14"/>
    </sheetView>
  </sheetViews>
  <sheetFormatPr defaultRowHeight="14.4" x14ac:dyDescent="0.3"/>
  <sheetData>
    <row r="1" spans="1:87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8" t="s">
        <v>8</v>
      </c>
      <c r="J1" s="7" t="s">
        <v>9</v>
      </c>
      <c r="K1" s="8" t="s">
        <v>10</v>
      </c>
      <c r="L1" s="1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1" t="s">
        <v>16</v>
      </c>
      <c r="R1" s="1" t="s">
        <v>17</v>
      </c>
      <c r="S1" s="7" t="s">
        <v>18</v>
      </c>
      <c r="T1" s="8" t="s">
        <v>19</v>
      </c>
      <c r="U1" s="1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1" t="s">
        <v>25</v>
      </c>
      <c r="AA1" s="1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7" t="s">
        <v>37</v>
      </c>
      <c r="AK1" s="8" t="s">
        <v>38</v>
      </c>
      <c r="AL1" s="7" t="s">
        <v>39</v>
      </c>
      <c r="AM1" s="8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7" t="s">
        <v>46</v>
      </c>
      <c r="AT1" s="8" t="s">
        <v>47</v>
      </c>
      <c r="AU1" s="7" t="s">
        <v>48</v>
      </c>
      <c r="AV1" s="8" t="s">
        <v>49</v>
      </c>
      <c r="AW1" s="7" t="s">
        <v>50</v>
      </c>
      <c r="AX1" s="145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46" t="s">
        <v>763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7" t="s">
        <v>65</v>
      </c>
      <c r="BN1" s="7" t="s">
        <v>66</v>
      </c>
      <c r="BO1" s="8" t="s">
        <v>67</v>
      </c>
      <c r="BP1" s="8" t="s">
        <v>68</v>
      </c>
      <c r="BQ1" s="7" t="s">
        <v>69</v>
      </c>
      <c r="BR1" s="7" t="s">
        <v>70</v>
      </c>
      <c r="BS1" s="8" t="s">
        <v>71</v>
      </c>
      <c r="BT1" s="8" t="s">
        <v>72</v>
      </c>
      <c r="BU1" s="7" t="s">
        <v>73</v>
      </c>
      <c r="BV1" s="7" t="s">
        <v>74</v>
      </c>
      <c r="BW1" s="8" t="s">
        <v>75</v>
      </c>
      <c r="BX1" s="8" t="s">
        <v>76</v>
      </c>
      <c r="BY1" s="7" t="s">
        <v>77</v>
      </c>
      <c r="BZ1" s="7" t="s">
        <v>78</v>
      </c>
      <c r="CA1" s="8" t="s">
        <v>79</v>
      </c>
      <c r="CB1" s="8" t="s">
        <v>80</v>
      </c>
      <c r="CC1" s="7" t="s">
        <v>81</v>
      </c>
      <c r="CD1" s="7" t="s">
        <v>82</v>
      </c>
      <c r="CE1" s="8" t="s">
        <v>83</v>
      </c>
      <c r="CF1" s="8" t="s">
        <v>84</v>
      </c>
      <c r="CG1" s="1" t="s">
        <v>85</v>
      </c>
      <c r="CH1" s="1" t="s">
        <v>86</v>
      </c>
      <c r="CI1" s="1" t="s">
        <v>87</v>
      </c>
    </row>
    <row r="2" spans="1:87" s="161" customFormat="1" x14ac:dyDescent="0.3">
      <c r="A2" s="158" t="s">
        <v>99</v>
      </c>
      <c r="B2" s="158" t="s">
        <v>103</v>
      </c>
      <c r="C2" s="166" t="s">
        <v>169</v>
      </c>
      <c r="D2" s="160">
        <v>2024</v>
      </c>
      <c r="E2" s="158">
        <v>59</v>
      </c>
      <c r="F2" s="161">
        <v>1</v>
      </c>
      <c r="G2" s="161">
        <v>1</v>
      </c>
      <c r="H2" s="161" t="s">
        <v>514</v>
      </c>
      <c r="I2" s="161" t="s">
        <v>513</v>
      </c>
      <c r="J2" s="161">
        <v>23</v>
      </c>
      <c r="K2" s="161">
        <v>23</v>
      </c>
      <c r="L2" s="161">
        <v>-999</v>
      </c>
      <c r="M2" s="161">
        <v>7</v>
      </c>
      <c r="N2" s="161">
        <v>16</v>
      </c>
      <c r="O2" s="161">
        <v>9</v>
      </c>
      <c r="P2" s="161">
        <v>14</v>
      </c>
      <c r="Q2" s="161">
        <v>-999</v>
      </c>
      <c r="R2" s="161">
        <v>-999</v>
      </c>
      <c r="S2" s="161">
        <v>1</v>
      </c>
      <c r="T2" s="161">
        <v>1</v>
      </c>
      <c r="U2" s="161">
        <v>-999</v>
      </c>
      <c r="V2" s="161">
        <v>68.569999999999993</v>
      </c>
      <c r="W2" s="161">
        <v>5.21</v>
      </c>
      <c r="X2" s="161">
        <v>63.7</v>
      </c>
      <c r="Y2" s="161">
        <v>6.05</v>
      </c>
      <c r="Z2" s="161">
        <v>-999</v>
      </c>
      <c r="AA2" s="161">
        <v>-999</v>
      </c>
      <c r="AB2" s="161">
        <v>-999</v>
      </c>
      <c r="AC2" s="161">
        <v>-999</v>
      </c>
      <c r="AD2" s="161">
        <v>-999</v>
      </c>
      <c r="AE2" s="161">
        <v>-999</v>
      </c>
      <c r="AF2" s="161">
        <v>-999</v>
      </c>
      <c r="AG2" s="161">
        <v>-999</v>
      </c>
      <c r="AH2" s="161">
        <v>-999</v>
      </c>
      <c r="AI2" s="161">
        <v>-999</v>
      </c>
      <c r="AJ2" s="161">
        <v>0</v>
      </c>
      <c r="AK2" s="161">
        <v>0</v>
      </c>
      <c r="AL2" s="161">
        <v>0</v>
      </c>
      <c r="AM2" s="161">
        <v>0</v>
      </c>
      <c r="AN2" s="161" t="s">
        <v>515</v>
      </c>
      <c r="AO2" s="161" t="s">
        <v>516</v>
      </c>
      <c r="AP2" s="161">
        <v>0</v>
      </c>
      <c r="AQ2" s="161">
        <v>0</v>
      </c>
      <c r="AR2" s="161">
        <v>2</v>
      </c>
      <c r="AS2" s="161" t="s">
        <v>518</v>
      </c>
      <c r="AT2" s="161" t="s">
        <v>518</v>
      </c>
      <c r="AU2" s="161" t="s">
        <v>517</v>
      </c>
      <c r="AV2" s="161" t="s">
        <v>517</v>
      </c>
      <c r="AW2" s="161">
        <v>40</v>
      </c>
      <c r="AX2" s="161" t="s">
        <v>762</v>
      </c>
      <c r="AY2" s="161">
        <v>-99</v>
      </c>
      <c r="AZ2" s="161">
        <v>-99</v>
      </c>
      <c r="BA2" s="161">
        <v>15</v>
      </c>
      <c r="BB2" s="161">
        <v>60</v>
      </c>
      <c r="BC2" s="161">
        <v>30</v>
      </c>
      <c r="BD2" s="161" t="s">
        <v>764</v>
      </c>
      <c r="BE2" s="188" t="s">
        <v>293</v>
      </c>
      <c r="BF2" s="161">
        <v>1</v>
      </c>
      <c r="BG2" s="188" t="s">
        <v>523</v>
      </c>
      <c r="BH2" s="161">
        <v>1</v>
      </c>
      <c r="BI2" s="161">
        <v>1</v>
      </c>
      <c r="BJ2" s="161">
        <v>0</v>
      </c>
      <c r="BK2" s="161">
        <v>-999</v>
      </c>
      <c r="BL2" s="161">
        <v>-999</v>
      </c>
      <c r="BM2" s="161">
        <v>19.43</v>
      </c>
      <c r="BN2" s="161">
        <v>3.33</v>
      </c>
      <c r="BO2" s="161">
        <v>20.78</v>
      </c>
      <c r="BP2" s="161">
        <v>3.04</v>
      </c>
      <c r="BU2" s="161">
        <v>22.43</v>
      </c>
      <c r="BV2" s="161">
        <v>7.11</v>
      </c>
      <c r="BW2" s="161">
        <v>20.82</v>
      </c>
      <c r="BX2" s="161">
        <v>7.11</v>
      </c>
      <c r="BY2" s="161">
        <v>20.47</v>
      </c>
      <c r="BZ2" s="161">
        <v>7.09</v>
      </c>
      <c r="CA2" s="161">
        <v>20.94</v>
      </c>
      <c r="CB2" s="161">
        <v>7.92</v>
      </c>
    </row>
    <row r="3" spans="1:87" s="179" customFormat="1" x14ac:dyDescent="0.3">
      <c r="A3" s="179" t="s">
        <v>99</v>
      </c>
      <c r="B3" s="179" t="s">
        <v>106</v>
      </c>
      <c r="C3" s="189" t="s">
        <v>192</v>
      </c>
      <c r="D3" s="181">
        <v>2022</v>
      </c>
      <c r="E3" s="189">
        <v>63</v>
      </c>
      <c r="F3" s="179">
        <v>1</v>
      </c>
      <c r="G3" s="179">
        <v>1</v>
      </c>
      <c r="H3" s="179" t="s">
        <v>514</v>
      </c>
      <c r="I3" s="179" t="s">
        <v>513</v>
      </c>
      <c r="J3" s="179">
        <v>23</v>
      </c>
      <c r="K3" s="179">
        <v>27</v>
      </c>
      <c r="L3" s="179">
        <v>-999</v>
      </c>
      <c r="M3" s="179">
        <v>8</v>
      </c>
      <c r="N3" s="179">
        <v>15</v>
      </c>
      <c r="O3" s="179">
        <v>6</v>
      </c>
      <c r="P3" s="179">
        <v>21</v>
      </c>
      <c r="Q3" s="179">
        <v>-999</v>
      </c>
      <c r="R3" s="179">
        <v>-999</v>
      </c>
      <c r="S3" s="179">
        <v>0</v>
      </c>
      <c r="T3" s="179">
        <v>0</v>
      </c>
      <c r="U3" s="179">
        <v>-999</v>
      </c>
      <c r="V3" s="179">
        <v>76.95</v>
      </c>
      <c r="W3" s="179">
        <v>1.28</v>
      </c>
      <c r="X3" s="179">
        <v>75.78</v>
      </c>
      <c r="Y3" s="179">
        <v>1.26</v>
      </c>
      <c r="Z3" s="179">
        <v>-999</v>
      </c>
      <c r="AA3" s="179">
        <v>-999</v>
      </c>
      <c r="AB3" s="179">
        <v>51.84</v>
      </c>
      <c r="AC3" s="179">
        <v>4.5599999999999996</v>
      </c>
      <c r="AD3" s="179">
        <v>49.44</v>
      </c>
      <c r="AE3" s="179">
        <v>3.36</v>
      </c>
      <c r="AF3" s="179">
        <v>-999</v>
      </c>
      <c r="AG3" s="179">
        <v>-999</v>
      </c>
      <c r="AH3" s="179">
        <v>-999</v>
      </c>
      <c r="AI3" s="179">
        <v>-999</v>
      </c>
      <c r="AJ3" s="179">
        <v>0</v>
      </c>
      <c r="AK3" s="179">
        <v>0</v>
      </c>
      <c r="AL3" s="179">
        <v>0</v>
      </c>
      <c r="AM3" s="179">
        <v>0</v>
      </c>
      <c r="AN3" s="179" t="s">
        <v>798</v>
      </c>
      <c r="AO3" s="179" t="s">
        <v>799</v>
      </c>
      <c r="AP3" s="179">
        <v>0</v>
      </c>
      <c r="AQ3" s="179">
        <v>0</v>
      </c>
      <c r="AR3" s="179">
        <v>0</v>
      </c>
      <c r="AS3" s="179" t="s">
        <v>801</v>
      </c>
      <c r="AT3" s="179" t="s">
        <v>801</v>
      </c>
      <c r="AU3" s="179" t="s">
        <v>801</v>
      </c>
      <c r="AV3" s="179" t="s">
        <v>801</v>
      </c>
      <c r="AW3" s="179">
        <v>40</v>
      </c>
      <c r="AX3" s="179" t="s">
        <v>762</v>
      </c>
      <c r="AY3" s="179">
        <v>-999</v>
      </c>
      <c r="AZ3" s="179">
        <v>-999</v>
      </c>
      <c r="BA3" s="179">
        <v>2</v>
      </c>
      <c r="BB3" s="179">
        <v>20</v>
      </c>
      <c r="BC3" s="179">
        <v>30</v>
      </c>
      <c r="BD3" s="179" t="s">
        <v>800</v>
      </c>
      <c r="BE3" s="179" t="s">
        <v>293</v>
      </c>
      <c r="BF3" s="179">
        <v>1</v>
      </c>
      <c r="BG3" s="179" t="s">
        <v>523</v>
      </c>
      <c r="BH3" s="179">
        <v>1</v>
      </c>
      <c r="BI3" s="179">
        <v>-999</v>
      </c>
      <c r="BJ3" s="179">
        <v>-999</v>
      </c>
      <c r="BK3" s="179">
        <v>-999</v>
      </c>
      <c r="BL3" s="179">
        <v>-999</v>
      </c>
      <c r="BM3" s="179">
        <v>16.260000000000002</v>
      </c>
      <c r="BN3" s="179">
        <v>0.94</v>
      </c>
      <c r="BO3" s="179">
        <v>17.260000000000002</v>
      </c>
      <c r="BP3" s="179">
        <v>0.88</v>
      </c>
      <c r="BU3" s="179">
        <v>20.170000000000002</v>
      </c>
      <c r="BV3" s="179">
        <v>2.75</v>
      </c>
      <c r="BW3" s="179">
        <v>18.7</v>
      </c>
      <c r="BX3" s="179">
        <v>2.25</v>
      </c>
      <c r="BY3" s="179">
        <v>19.600000000000001</v>
      </c>
      <c r="BZ3" s="179">
        <v>2.54</v>
      </c>
      <c r="CA3" s="179">
        <v>18.96</v>
      </c>
      <c r="CB3" s="179">
        <v>2.02</v>
      </c>
    </row>
    <row r="5" spans="1:87" s="161" customFormat="1" x14ac:dyDescent="0.3">
      <c r="A5" s="158" t="s">
        <v>99</v>
      </c>
      <c r="B5" s="158" t="s">
        <v>103</v>
      </c>
      <c r="C5" s="166" t="s">
        <v>169</v>
      </c>
      <c r="D5" s="160">
        <v>2024</v>
      </c>
      <c r="E5" s="158">
        <v>59</v>
      </c>
      <c r="F5" s="161">
        <v>1</v>
      </c>
      <c r="G5" s="161">
        <v>1</v>
      </c>
      <c r="H5" s="161" t="s">
        <v>514</v>
      </c>
      <c r="I5" s="161" t="s">
        <v>513</v>
      </c>
      <c r="J5" s="161">
        <v>23</v>
      </c>
      <c r="K5" s="161">
        <v>23</v>
      </c>
      <c r="L5" s="161">
        <v>-999</v>
      </c>
      <c r="M5" s="161">
        <v>7</v>
      </c>
      <c r="N5" s="161">
        <v>16</v>
      </c>
      <c r="O5" s="161">
        <v>9</v>
      </c>
      <c r="P5" s="161">
        <v>14</v>
      </c>
      <c r="Q5" s="161">
        <v>-999</v>
      </c>
      <c r="R5" s="161">
        <v>-999</v>
      </c>
      <c r="S5" s="161">
        <v>1</v>
      </c>
      <c r="T5" s="161">
        <v>1</v>
      </c>
      <c r="U5" s="161">
        <v>-999</v>
      </c>
      <c r="V5" s="161">
        <v>68.569999999999993</v>
      </c>
      <c r="W5" s="161">
        <v>5.21</v>
      </c>
      <c r="X5" s="161">
        <v>63.7</v>
      </c>
      <c r="Y5" s="161">
        <v>6.05</v>
      </c>
      <c r="Z5" s="161">
        <v>-999</v>
      </c>
      <c r="AA5" s="161">
        <v>-999</v>
      </c>
      <c r="AB5" s="161">
        <v>-999</v>
      </c>
      <c r="AC5" s="161">
        <v>-999</v>
      </c>
      <c r="AD5" s="161">
        <v>-999</v>
      </c>
      <c r="AE5" s="161">
        <v>-999</v>
      </c>
      <c r="AF5" s="161">
        <v>-999</v>
      </c>
      <c r="AG5" s="161">
        <v>-999</v>
      </c>
      <c r="AH5" s="161">
        <v>-999</v>
      </c>
      <c r="AI5" s="161">
        <v>-999</v>
      </c>
      <c r="AJ5" s="161">
        <v>0</v>
      </c>
      <c r="AK5" s="161">
        <v>0</v>
      </c>
      <c r="AL5" s="161">
        <v>0</v>
      </c>
      <c r="AM5" s="161">
        <v>0</v>
      </c>
      <c r="AN5" s="161" t="s">
        <v>515</v>
      </c>
      <c r="AO5" s="161" t="s">
        <v>516</v>
      </c>
      <c r="AP5" s="161">
        <v>0</v>
      </c>
      <c r="AQ5" s="161">
        <v>0</v>
      </c>
      <c r="AR5" s="161">
        <v>2</v>
      </c>
      <c r="AS5" s="161" t="s">
        <v>518</v>
      </c>
      <c r="AT5" s="161" t="s">
        <v>518</v>
      </c>
      <c r="AU5" s="161" t="s">
        <v>517</v>
      </c>
      <c r="AV5" s="161" t="s">
        <v>517</v>
      </c>
      <c r="AW5" s="161">
        <v>40</v>
      </c>
      <c r="AX5" s="161" t="s">
        <v>762</v>
      </c>
      <c r="AY5" s="161">
        <v>-99</v>
      </c>
      <c r="AZ5" s="161">
        <v>-99</v>
      </c>
      <c r="BA5" s="161">
        <v>15</v>
      </c>
      <c r="BB5" s="161">
        <v>60</v>
      </c>
      <c r="BC5" s="161">
        <v>30</v>
      </c>
      <c r="BD5" s="161" t="s">
        <v>764</v>
      </c>
      <c r="BE5" s="219" t="s">
        <v>855</v>
      </c>
      <c r="BF5" s="161">
        <v>1</v>
      </c>
      <c r="BG5" s="188" t="s">
        <v>523</v>
      </c>
      <c r="BH5" s="161">
        <v>1</v>
      </c>
      <c r="BI5" s="161">
        <v>1</v>
      </c>
      <c r="BJ5" s="161">
        <v>0</v>
      </c>
      <c r="BK5" s="161">
        <v>-999</v>
      </c>
      <c r="BL5" s="161">
        <v>-999</v>
      </c>
      <c r="BM5" s="161">
        <v>18.22</v>
      </c>
      <c r="BN5" s="161">
        <v>5.92</v>
      </c>
      <c r="BO5" s="161">
        <v>17.3</v>
      </c>
      <c r="BP5" s="161">
        <v>5.98</v>
      </c>
      <c r="BU5" s="161">
        <v>16.57</v>
      </c>
      <c r="BV5" s="161">
        <v>7.9</v>
      </c>
      <c r="BW5" s="161">
        <v>17.43</v>
      </c>
      <c r="BX5" s="161">
        <v>8.4499999999999993</v>
      </c>
    </row>
    <row r="6" spans="1:87" s="161" customFormat="1" x14ac:dyDescent="0.3">
      <c r="A6" s="161" t="s">
        <v>99</v>
      </c>
      <c r="B6" s="219" t="s">
        <v>106</v>
      </c>
      <c r="C6" s="167" t="s">
        <v>192</v>
      </c>
      <c r="D6" s="160">
        <v>2022</v>
      </c>
      <c r="E6" s="167">
        <v>63</v>
      </c>
      <c r="F6" s="161">
        <v>1</v>
      </c>
      <c r="G6" s="161">
        <v>1</v>
      </c>
      <c r="H6" s="161" t="s">
        <v>514</v>
      </c>
      <c r="I6" s="161" t="s">
        <v>513</v>
      </c>
      <c r="J6" s="161">
        <v>23</v>
      </c>
      <c r="K6" s="161">
        <v>27</v>
      </c>
      <c r="L6" s="161">
        <v>-999</v>
      </c>
      <c r="M6" s="161">
        <v>8</v>
      </c>
      <c r="N6" s="161">
        <v>15</v>
      </c>
      <c r="O6" s="161">
        <v>6</v>
      </c>
      <c r="P6" s="161">
        <v>21</v>
      </c>
      <c r="Q6" s="161">
        <v>-999</v>
      </c>
      <c r="R6" s="161">
        <v>-999</v>
      </c>
      <c r="S6" s="161">
        <v>0</v>
      </c>
      <c r="T6" s="161">
        <v>0</v>
      </c>
      <c r="U6" s="161">
        <v>-999</v>
      </c>
      <c r="V6" s="161">
        <v>76.95</v>
      </c>
      <c r="W6" s="161">
        <v>1.28</v>
      </c>
      <c r="X6" s="161">
        <v>75.78</v>
      </c>
      <c r="Y6" s="161">
        <v>1.26</v>
      </c>
      <c r="Z6" s="161">
        <v>-999</v>
      </c>
      <c r="AA6" s="161">
        <v>-999</v>
      </c>
      <c r="AB6" s="161">
        <v>51.84</v>
      </c>
      <c r="AC6" s="161">
        <v>4.5599999999999996</v>
      </c>
      <c r="AD6" s="161">
        <v>49.44</v>
      </c>
      <c r="AE6" s="161">
        <v>3.36</v>
      </c>
      <c r="AF6" s="161">
        <v>-999</v>
      </c>
      <c r="AG6" s="161">
        <v>-999</v>
      </c>
      <c r="AH6" s="161">
        <v>-999</v>
      </c>
      <c r="AI6" s="161">
        <v>-999</v>
      </c>
      <c r="AJ6" s="161">
        <v>0</v>
      </c>
      <c r="AK6" s="161">
        <v>0</v>
      </c>
      <c r="AL6" s="161">
        <v>0</v>
      </c>
      <c r="AM6" s="161">
        <v>0</v>
      </c>
      <c r="AN6" s="161" t="s">
        <v>798</v>
      </c>
      <c r="AO6" s="161" t="s">
        <v>799</v>
      </c>
      <c r="AP6" s="161">
        <v>0</v>
      </c>
      <c r="AQ6" s="161">
        <v>0</v>
      </c>
      <c r="AR6" s="161">
        <v>0</v>
      </c>
      <c r="AS6" s="161" t="s">
        <v>801</v>
      </c>
      <c r="AT6" s="161" t="s">
        <v>801</v>
      </c>
      <c r="AU6" s="161" t="s">
        <v>801</v>
      </c>
      <c r="AV6" s="161" t="s">
        <v>801</v>
      </c>
      <c r="AW6" s="161">
        <v>40</v>
      </c>
      <c r="AX6" s="161" t="s">
        <v>762</v>
      </c>
      <c r="AY6" s="161">
        <v>-999</v>
      </c>
      <c r="AZ6" s="161">
        <v>-999</v>
      </c>
      <c r="BA6" s="161">
        <v>2</v>
      </c>
      <c r="BB6" s="161">
        <v>20</v>
      </c>
      <c r="BC6" s="161">
        <v>30</v>
      </c>
      <c r="BD6" s="161" t="s">
        <v>800</v>
      </c>
      <c r="BE6" s="161" t="s">
        <v>526</v>
      </c>
      <c r="BF6" s="161">
        <v>1</v>
      </c>
      <c r="BG6" s="161" t="s">
        <v>523</v>
      </c>
      <c r="BH6" s="161">
        <v>1</v>
      </c>
      <c r="BI6" s="161">
        <v>-999</v>
      </c>
      <c r="BJ6" s="161">
        <v>-999</v>
      </c>
      <c r="BK6" s="161">
        <v>-999</v>
      </c>
      <c r="BL6" s="161">
        <v>-999</v>
      </c>
      <c r="BM6" s="161">
        <v>30.69</v>
      </c>
      <c r="BN6" s="161">
        <v>3.95</v>
      </c>
      <c r="BO6" s="161">
        <v>29.82</v>
      </c>
      <c r="BP6" s="161">
        <v>5.75</v>
      </c>
      <c r="BU6" s="214">
        <v>23.53</v>
      </c>
      <c r="BV6" s="161">
        <v>4.17</v>
      </c>
      <c r="BW6" s="214">
        <v>29.2</v>
      </c>
      <c r="BX6" s="161">
        <v>6.09</v>
      </c>
    </row>
    <row r="7" spans="1:87" s="161" customFormat="1" x14ac:dyDescent="0.3">
      <c r="A7" s="161" t="s">
        <v>99</v>
      </c>
      <c r="B7" s="158" t="s">
        <v>499</v>
      </c>
      <c r="C7" s="212" t="s">
        <v>500</v>
      </c>
      <c r="D7" s="212">
        <v>2025</v>
      </c>
      <c r="F7" s="161">
        <v>0</v>
      </c>
      <c r="G7" s="161">
        <v>1</v>
      </c>
      <c r="H7" s="161" t="s">
        <v>807</v>
      </c>
      <c r="I7" s="161" t="s">
        <v>513</v>
      </c>
      <c r="J7" s="161">
        <v>26</v>
      </c>
      <c r="K7" s="161">
        <v>24</v>
      </c>
      <c r="L7" s="161">
        <v>-99</v>
      </c>
      <c r="M7" s="161">
        <v>13</v>
      </c>
      <c r="N7" s="161">
        <v>13</v>
      </c>
      <c r="O7" s="161">
        <v>12</v>
      </c>
      <c r="P7" s="161">
        <v>12</v>
      </c>
      <c r="Q7" s="161">
        <v>-99</v>
      </c>
      <c r="R7" s="161">
        <v>-99</v>
      </c>
      <c r="S7" s="161">
        <v>-99</v>
      </c>
      <c r="T7" s="161">
        <v>-99</v>
      </c>
      <c r="U7" s="161">
        <v>-99</v>
      </c>
      <c r="V7" s="161">
        <v>66.400000000000006</v>
      </c>
      <c r="W7" s="161">
        <v>7.1</v>
      </c>
      <c r="X7" s="161">
        <v>63.8</v>
      </c>
      <c r="Y7" s="161">
        <v>8.5</v>
      </c>
      <c r="Z7" s="161">
        <v>-99</v>
      </c>
      <c r="AA7" s="161">
        <v>-99</v>
      </c>
      <c r="AB7" s="161">
        <v>-99</v>
      </c>
      <c r="AC7" s="161">
        <v>-99</v>
      </c>
      <c r="AD7" s="161">
        <v>-99</v>
      </c>
      <c r="AE7" s="161">
        <v>-99</v>
      </c>
      <c r="AF7" s="161">
        <v>-99</v>
      </c>
      <c r="AG7" s="161">
        <v>-99</v>
      </c>
      <c r="AH7" s="161">
        <v>-99</v>
      </c>
      <c r="AI7" s="161">
        <v>-99</v>
      </c>
      <c r="AJ7" s="161">
        <v>0</v>
      </c>
      <c r="AK7" s="161">
        <v>0</v>
      </c>
      <c r="AL7" s="161">
        <v>0</v>
      </c>
      <c r="AM7" s="161">
        <v>0</v>
      </c>
      <c r="AN7" s="165">
        <v>33</v>
      </c>
      <c r="AO7" s="165">
        <v>33</v>
      </c>
      <c r="AP7" s="165">
        <v>0</v>
      </c>
      <c r="AQ7" s="165">
        <v>0</v>
      </c>
      <c r="AR7" s="161">
        <v>0</v>
      </c>
      <c r="AS7" s="161" t="s">
        <v>776</v>
      </c>
      <c r="AT7" s="161" t="s">
        <v>776</v>
      </c>
      <c r="AU7" s="161" t="s">
        <v>777</v>
      </c>
      <c r="AV7" s="161" t="s">
        <v>777</v>
      </c>
      <c r="AW7" s="161">
        <v>40</v>
      </c>
      <c r="AX7" s="161" t="s">
        <v>762</v>
      </c>
      <c r="AY7" s="161">
        <v>-99</v>
      </c>
      <c r="AZ7" s="161">
        <v>-99</v>
      </c>
      <c r="BA7" s="161">
        <v>3</v>
      </c>
      <c r="BB7" s="161">
        <v>60</v>
      </c>
      <c r="BC7" s="161">
        <v>40</v>
      </c>
      <c r="BD7" s="161" t="s">
        <v>781</v>
      </c>
      <c r="BE7" s="219" t="s">
        <v>856</v>
      </c>
      <c r="BF7" s="161">
        <v>1</v>
      </c>
      <c r="BG7" s="161" t="s">
        <v>523</v>
      </c>
      <c r="BH7" s="161">
        <v>1</v>
      </c>
      <c r="BK7" s="161">
        <v>-99</v>
      </c>
      <c r="BL7" s="161">
        <v>-99</v>
      </c>
      <c r="BM7" s="161">
        <v>17.899999999999999</v>
      </c>
      <c r="BN7" s="161">
        <v>5.4</v>
      </c>
      <c r="BO7" s="161">
        <v>17.8</v>
      </c>
      <c r="BP7" s="161">
        <v>4.7</v>
      </c>
      <c r="BU7" s="161">
        <v>15.4</v>
      </c>
      <c r="BV7" s="161">
        <v>5.4</v>
      </c>
      <c r="BW7" s="161">
        <v>19.600000000000001</v>
      </c>
      <c r="BX7" s="161">
        <v>4.4000000000000004</v>
      </c>
    </row>
    <row r="8" spans="1:87" s="179" customFormat="1" x14ac:dyDescent="0.3">
      <c r="A8" s="189" t="s">
        <v>115</v>
      </c>
      <c r="B8" s="222" t="s">
        <v>224</v>
      </c>
      <c r="C8" s="189" t="s">
        <v>238</v>
      </c>
      <c r="D8" s="181" t="s">
        <v>233</v>
      </c>
      <c r="E8" s="189">
        <v>69</v>
      </c>
      <c r="F8" s="179">
        <v>0</v>
      </c>
      <c r="G8" s="179">
        <v>1</v>
      </c>
      <c r="H8" s="213" t="s">
        <v>811</v>
      </c>
      <c r="I8" s="179" t="s">
        <v>513</v>
      </c>
      <c r="J8" s="213">
        <v>42</v>
      </c>
      <c r="K8" s="213">
        <v>42</v>
      </c>
      <c r="L8" s="213">
        <v>-99</v>
      </c>
      <c r="M8" s="213">
        <v>-99</v>
      </c>
      <c r="N8" s="213">
        <v>-99</v>
      </c>
      <c r="O8" s="213">
        <v>-99</v>
      </c>
      <c r="P8" s="213">
        <v>-99</v>
      </c>
      <c r="Q8" s="179">
        <v>-99</v>
      </c>
      <c r="R8" s="179">
        <v>-99</v>
      </c>
      <c r="U8" s="179">
        <v>-99</v>
      </c>
      <c r="V8" s="179">
        <v>72.900000000000006</v>
      </c>
      <c r="W8" s="179">
        <v>8.6</v>
      </c>
      <c r="X8" s="179">
        <v>76.3</v>
      </c>
      <c r="Y8" s="179">
        <v>9.3000000000000007</v>
      </c>
      <c r="Z8" s="179">
        <v>-99</v>
      </c>
      <c r="AA8" s="179">
        <v>-99</v>
      </c>
      <c r="AB8" s="179">
        <v>-99</v>
      </c>
      <c r="AC8" s="179">
        <v>-99</v>
      </c>
      <c r="AD8" s="179">
        <v>-99</v>
      </c>
      <c r="AE8" s="179">
        <v>-99</v>
      </c>
      <c r="AF8" s="179">
        <v>-99</v>
      </c>
      <c r="AG8" s="179">
        <v>-99</v>
      </c>
      <c r="AH8" s="179">
        <v>-99</v>
      </c>
      <c r="AI8" s="179">
        <v>-99</v>
      </c>
      <c r="AJ8" s="179">
        <v>0</v>
      </c>
      <c r="AK8" s="179">
        <v>0</v>
      </c>
      <c r="AL8" s="179">
        <v>0</v>
      </c>
      <c r="AM8" s="179">
        <v>0</v>
      </c>
      <c r="AN8" s="179">
        <v>-99</v>
      </c>
      <c r="AO8" s="179">
        <v>-99</v>
      </c>
      <c r="AP8" s="179">
        <v>-99</v>
      </c>
      <c r="AQ8" s="179">
        <v>-99</v>
      </c>
      <c r="AR8" s="179">
        <v>0</v>
      </c>
      <c r="AS8" s="213" t="s">
        <v>808</v>
      </c>
      <c r="AT8" s="213" t="s">
        <v>808</v>
      </c>
      <c r="AU8" s="213" t="s">
        <v>809</v>
      </c>
      <c r="AV8" s="213" t="s">
        <v>809</v>
      </c>
      <c r="AW8" s="179">
        <v>40</v>
      </c>
      <c r="AX8" s="213" t="s">
        <v>762</v>
      </c>
      <c r="AY8" s="179">
        <v>-99</v>
      </c>
      <c r="AZ8" s="179">
        <v>-99</v>
      </c>
      <c r="BA8" s="179">
        <v>1.5</v>
      </c>
      <c r="BB8" s="179">
        <v>60</v>
      </c>
      <c r="BC8" s="179">
        <v>20</v>
      </c>
      <c r="BD8" s="213" t="s">
        <v>810</v>
      </c>
      <c r="BE8" s="179" t="s">
        <v>526</v>
      </c>
      <c r="BF8" s="179">
        <v>2</v>
      </c>
      <c r="BG8" s="179" t="s">
        <v>523</v>
      </c>
      <c r="BH8" s="179">
        <v>2</v>
      </c>
      <c r="BI8" s="179">
        <v>-99</v>
      </c>
      <c r="BJ8" s="179">
        <v>-99</v>
      </c>
      <c r="BK8" s="179">
        <v>-99</v>
      </c>
      <c r="BL8" s="179">
        <v>-99</v>
      </c>
      <c r="BM8" s="179">
        <v>22.17</v>
      </c>
      <c r="BN8" s="179">
        <v>8.93</v>
      </c>
      <c r="BO8" s="179">
        <v>21.37</v>
      </c>
      <c r="BP8" s="179">
        <v>9.6999999999999993</v>
      </c>
      <c r="BU8" s="179">
        <v>20.32</v>
      </c>
      <c r="BV8" s="179">
        <v>8.4499999999999993</v>
      </c>
      <c r="BW8" s="179">
        <v>20.23</v>
      </c>
      <c r="BX8" s="179">
        <v>7.99</v>
      </c>
    </row>
  </sheetData>
  <phoneticPr fontId="30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7E31-3E42-4382-B2E2-448140288349}">
  <dimension ref="A1:M11"/>
  <sheetViews>
    <sheetView topLeftCell="B1" workbookViewId="0">
      <pane ySplit="1" topLeftCell="A2" activePane="bottomLeft" state="frozen"/>
      <selection pane="bottomLeft" activeCell="M3" sqref="M3"/>
    </sheetView>
  </sheetViews>
  <sheetFormatPr defaultRowHeight="14.4" x14ac:dyDescent="0.3"/>
  <cols>
    <col min="2" max="2" width="35.77734375" customWidth="1"/>
    <col min="3" max="3" width="42.44140625" customWidth="1"/>
    <col min="4" max="4" width="46.5546875" customWidth="1"/>
    <col min="5" max="5" width="26.44140625" customWidth="1"/>
    <col min="6" max="6" width="30.44140625" customWidth="1"/>
    <col min="7" max="7" width="29.88671875" customWidth="1"/>
    <col min="8" max="8" width="8.88671875" style="217"/>
    <col min="9" max="9" width="10" style="225" bestFit="1" customWidth="1"/>
    <col min="10" max="10" width="15.109375" bestFit="1" customWidth="1"/>
    <col min="12" max="12" width="7.33203125" customWidth="1"/>
  </cols>
  <sheetData>
    <row r="1" spans="1:13" x14ac:dyDescent="0.3">
      <c r="A1" s="223" t="s">
        <v>528</v>
      </c>
      <c r="B1" s="223" t="s">
        <v>1</v>
      </c>
      <c r="C1" s="223" t="s">
        <v>812</v>
      </c>
      <c r="D1" s="223" t="s">
        <v>813</v>
      </c>
      <c r="E1" s="223" t="s">
        <v>814</v>
      </c>
      <c r="F1" s="223" t="s">
        <v>823</v>
      </c>
      <c r="G1" s="223" t="s">
        <v>547</v>
      </c>
      <c r="H1" s="231" t="s">
        <v>816</v>
      </c>
      <c r="I1" s="232" t="s">
        <v>878</v>
      </c>
      <c r="J1" s="233" t="s">
        <v>881</v>
      </c>
      <c r="K1" s="233" t="s">
        <v>296</v>
      </c>
      <c r="L1" s="233" t="s">
        <v>882</v>
      </c>
      <c r="M1" s="233" t="s">
        <v>526</v>
      </c>
    </row>
    <row r="2" spans="1:13" s="217" customFormat="1" ht="72" x14ac:dyDescent="0.3">
      <c r="A2" s="216" t="s">
        <v>815</v>
      </c>
      <c r="B2" s="216" t="s">
        <v>103</v>
      </c>
      <c r="C2" s="216" t="s">
        <v>817</v>
      </c>
      <c r="D2" s="216" t="s">
        <v>850</v>
      </c>
      <c r="E2" s="216" t="s">
        <v>818</v>
      </c>
      <c r="F2" s="216" t="s">
        <v>846</v>
      </c>
      <c r="G2" s="216" t="s">
        <v>819</v>
      </c>
      <c r="H2" s="224" t="s">
        <v>877</v>
      </c>
      <c r="I2" s="226" t="s">
        <v>879</v>
      </c>
      <c r="J2" s="227" t="s">
        <v>880</v>
      </c>
      <c r="K2" s="230"/>
      <c r="L2" s="228"/>
      <c r="M2" s="230"/>
    </row>
    <row r="3" spans="1:13" s="217" customFormat="1" ht="86.4" x14ac:dyDescent="0.3">
      <c r="A3" s="216" t="s">
        <v>820</v>
      </c>
      <c r="B3" s="215" t="s">
        <v>105</v>
      </c>
      <c r="C3" s="216" t="s">
        <v>821</v>
      </c>
      <c r="D3" s="216" t="s">
        <v>830</v>
      </c>
      <c r="E3" s="216" t="s">
        <v>822</v>
      </c>
      <c r="F3" s="216" t="s">
        <v>824</v>
      </c>
      <c r="G3" s="216" t="s">
        <v>825</v>
      </c>
      <c r="H3" s="224" t="s">
        <v>877</v>
      </c>
      <c r="I3" s="225"/>
      <c r="J3" s="227" t="s">
        <v>880</v>
      </c>
      <c r="L3" s="229"/>
    </row>
    <row r="4" spans="1:13" s="217" customFormat="1" ht="72" x14ac:dyDescent="0.3">
      <c r="A4" s="216" t="s">
        <v>826</v>
      </c>
      <c r="B4" s="215" t="s">
        <v>109</v>
      </c>
      <c r="C4" s="216" t="s">
        <v>821</v>
      </c>
      <c r="D4" s="216" t="s">
        <v>831</v>
      </c>
      <c r="E4" s="216" t="s">
        <v>822</v>
      </c>
      <c r="F4" s="216" t="s">
        <v>827</v>
      </c>
      <c r="G4" s="218" t="s">
        <v>828</v>
      </c>
      <c r="H4" s="224" t="s">
        <v>877</v>
      </c>
      <c r="I4" s="225"/>
      <c r="J4" s="227" t="s">
        <v>880</v>
      </c>
      <c r="L4" s="230"/>
    </row>
    <row r="5" spans="1:13" s="217" customFormat="1" ht="72" x14ac:dyDescent="0.3">
      <c r="A5" s="216" t="s">
        <v>829</v>
      </c>
      <c r="B5" s="215" t="s">
        <v>282</v>
      </c>
      <c r="C5" s="216" t="s">
        <v>821</v>
      </c>
      <c r="D5" s="216" t="s">
        <v>844</v>
      </c>
      <c r="E5" s="216" t="s">
        <v>832</v>
      </c>
      <c r="F5" s="216" t="s">
        <v>838</v>
      </c>
      <c r="G5" s="218" t="s">
        <v>833</v>
      </c>
      <c r="H5" s="224" t="s">
        <v>877</v>
      </c>
      <c r="I5" s="225"/>
      <c r="J5" s="227" t="s">
        <v>880</v>
      </c>
      <c r="L5" s="230"/>
    </row>
    <row r="6" spans="1:13" s="217" customFormat="1" ht="100.8" x14ac:dyDescent="0.3">
      <c r="A6" s="216" t="s">
        <v>834</v>
      </c>
      <c r="B6" s="215" t="s">
        <v>314</v>
      </c>
      <c r="C6" s="216" t="s">
        <v>835</v>
      </c>
      <c r="D6" s="216" t="s">
        <v>836</v>
      </c>
      <c r="E6" s="216" t="s">
        <v>837</v>
      </c>
      <c r="F6" s="216" t="s">
        <v>839</v>
      </c>
      <c r="G6" s="216" t="s">
        <v>840</v>
      </c>
      <c r="H6" s="225"/>
      <c r="I6" s="225"/>
      <c r="J6" s="227" t="s">
        <v>880</v>
      </c>
      <c r="L6" s="230"/>
    </row>
    <row r="7" spans="1:13" ht="100.8" x14ac:dyDescent="0.3">
      <c r="A7" s="216" t="s">
        <v>841</v>
      </c>
      <c r="B7" s="215" t="s">
        <v>842</v>
      </c>
      <c r="C7" s="216" t="s">
        <v>843</v>
      </c>
      <c r="D7" s="216" t="s">
        <v>845</v>
      </c>
      <c r="E7" s="216" t="s">
        <v>852</v>
      </c>
      <c r="F7" s="216" t="s">
        <v>847</v>
      </c>
      <c r="G7" s="216" t="s">
        <v>848</v>
      </c>
      <c r="H7" s="224" t="s">
        <v>877</v>
      </c>
      <c r="I7" s="226" t="s">
        <v>879</v>
      </c>
      <c r="J7" s="227" t="s">
        <v>880</v>
      </c>
      <c r="M7" s="148"/>
    </row>
    <row r="8" spans="1:13" ht="72" x14ac:dyDescent="0.3">
      <c r="A8" s="216" t="s">
        <v>849</v>
      </c>
      <c r="B8" s="215" t="s">
        <v>106</v>
      </c>
      <c r="C8" s="216" t="s">
        <v>854</v>
      </c>
      <c r="D8" s="216" t="s">
        <v>851</v>
      </c>
      <c r="E8" s="216" t="s">
        <v>853</v>
      </c>
      <c r="F8" s="216" t="s">
        <v>857</v>
      </c>
      <c r="G8" s="216" t="s">
        <v>858</v>
      </c>
      <c r="H8" s="224" t="s">
        <v>877</v>
      </c>
      <c r="I8" s="226" t="s">
        <v>879</v>
      </c>
      <c r="J8" s="227" t="s">
        <v>880</v>
      </c>
      <c r="M8" s="148"/>
    </row>
    <row r="9" spans="1:13" s="217" customFormat="1" ht="86.4" x14ac:dyDescent="0.3">
      <c r="A9" s="216" t="s">
        <v>859</v>
      </c>
      <c r="B9" s="215" t="s">
        <v>224</v>
      </c>
      <c r="C9" s="216" t="s">
        <v>860</v>
      </c>
      <c r="D9" s="216" t="s">
        <v>861</v>
      </c>
      <c r="E9" s="216" t="s">
        <v>865</v>
      </c>
      <c r="F9" s="216" t="s">
        <v>862</v>
      </c>
      <c r="G9" s="216" t="s">
        <v>863</v>
      </c>
      <c r="H9" s="225"/>
      <c r="I9" s="226" t="s">
        <v>879</v>
      </c>
      <c r="J9" s="227" t="s">
        <v>880</v>
      </c>
      <c r="M9" s="230"/>
    </row>
    <row r="10" spans="1:13" ht="72" x14ac:dyDescent="0.3">
      <c r="A10" s="216" t="s">
        <v>864</v>
      </c>
      <c r="B10" s="215" t="s">
        <v>623</v>
      </c>
      <c r="C10" s="216" t="s">
        <v>873</v>
      </c>
      <c r="D10" s="216" t="s">
        <v>874</v>
      </c>
      <c r="E10" s="216" t="s">
        <v>875</v>
      </c>
      <c r="F10" s="216" t="s">
        <v>872</v>
      </c>
      <c r="G10" s="216" t="s">
        <v>876</v>
      </c>
      <c r="H10" s="224" t="s">
        <v>877</v>
      </c>
      <c r="I10" s="226" t="s">
        <v>879</v>
      </c>
      <c r="J10" s="227" t="s">
        <v>880</v>
      </c>
      <c r="K10" s="148"/>
    </row>
    <row r="11" spans="1:13" s="217" customFormat="1" ht="86.4" x14ac:dyDescent="0.3">
      <c r="A11" s="216" t="s">
        <v>866</v>
      </c>
      <c r="B11" s="215" t="s">
        <v>626</v>
      </c>
      <c r="C11" s="216" t="s">
        <v>867</v>
      </c>
      <c r="D11" s="216" t="s">
        <v>868</v>
      </c>
      <c r="E11" s="216" t="s">
        <v>869</v>
      </c>
      <c r="F11" s="216" t="s">
        <v>870</v>
      </c>
      <c r="G11" s="216" t="s">
        <v>871</v>
      </c>
      <c r="H11" s="224" t="s">
        <v>877</v>
      </c>
      <c r="I11" s="226" t="s">
        <v>879</v>
      </c>
      <c r="J11" s="227" t="s">
        <v>880</v>
      </c>
      <c r="K11" s="2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E21D-663D-426F-92FF-435C26313221}">
  <dimension ref="A1:P39"/>
  <sheetViews>
    <sheetView topLeftCell="A18" workbookViewId="0">
      <selection activeCell="E13" sqref="E13"/>
    </sheetView>
  </sheetViews>
  <sheetFormatPr defaultRowHeight="14.4" x14ac:dyDescent="0.3"/>
  <cols>
    <col min="6" max="6" width="22.77734375" bestFit="1" customWidth="1"/>
    <col min="7" max="7" width="15.6640625" bestFit="1" customWidth="1"/>
    <col min="8" max="8" width="17.33203125" customWidth="1"/>
    <col min="9" max="9" width="22" bestFit="1" customWidth="1"/>
    <col min="10" max="13" width="9.77734375" customWidth="1"/>
    <col min="14" max="14" width="10.5546875" bestFit="1" customWidth="1"/>
    <col min="15" max="15" width="11.6640625" bestFit="1" customWidth="1"/>
    <col min="16" max="16" width="27.5546875" bestFit="1" customWidth="1"/>
  </cols>
  <sheetData>
    <row r="1" spans="1:16" ht="15" thickBot="1" x14ac:dyDescent="0.35">
      <c r="A1" s="111" t="s">
        <v>0</v>
      </c>
      <c r="B1" s="111" t="s">
        <v>527</v>
      </c>
      <c r="C1" s="111" t="s">
        <v>2</v>
      </c>
      <c r="D1" s="111" t="s">
        <v>3</v>
      </c>
      <c r="E1" s="111" t="s">
        <v>528</v>
      </c>
      <c r="F1" s="111" t="s">
        <v>529</v>
      </c>
      <c r="G1" s="111" t="s">
        <v>530</v>
      </c>
      <c r="H1" s="111" t="s">
        <v>531</v>
      </c>
      <c r="I1" s="111" t="s">
        <v>532</v>
      </c>
      <c r="J1" s="117" t="s">
        <v>568</v>
      </c>
      <c r="K1" s="117" t="s">
        <v>570</v>
      </c>
      <c r="L1" s="118" t="s">
        <v>569</v>
      </c>
      <c r="M1" s="118" t="s">
        <v>571</v>
      </c>
      <c r="N1" s="117" t="s">
        <v>572</v>
      </c>
      <c r="O1" s="118" t="s">
        <v>573</v>
      </c>
      <c r="P1" s="111" t="s">
        <v>547</v>
      </c>
    </row>
    <row r="2" spans="1:16" ht="15" thickBot="1" x14ac:dyDescent="0.35">
      <c r="A2" s="116" t="s">
        <v>89</v>
      </c>
      <c r="B2" s="121" t="s">
        <v>623</v>
      </c>
      <c r="C2" s="116" t="s">
        <v>624</v>
      </c>
      <c r="D2" s="134">
        <v>2025</v>
      </c>
      <c r="E2" s="134">
        <v>44</v>
      </c>
      <c r="F2" s="123" t="s">
        <v>296</v>
      </c>
      <c r="G2" s="142" t="s">
        <v>523</v>
      </c>
      <c r="H2" s="143" t="s">
        <v>548</v>
      </c>
      <c r="I2" s="142" t="s">
        <v>635</v>
      </c>
      <c r="J2" s="142">
        <v>26.082999999999998</v>
      </c>
      <c r="K2" s="142">
        <v>2.7650000000000001</v>
      </c>
      <c r="L2" s="142">
        <v>25.933</v>
      </c>
      <c r="M2" s="142">
        <v>2.6309999999999998</v>
      </c>
      <c r="N2" s="133"/>
      <c r="O2" s="133"/>
      <c r="P2" s="133"/>
    </row>
    <row r="3" spans="1:16" ht="15" thickBot="1" x14ac:dyDescent="0.35">
      <c r="A3" s="116" t="s">
        <v>89</v>
      </c>
      <c r="B3" s="121" t="s">
        <v>623</v>
      </c>
      <c r="C3" s="116" t="s">
        <v>624</v>
      </c>
      <c r="D3" s="134">
        <v>2025</v>
      </c>
      <c r="E3" s="134">
        <v>44</v>
      </c>
      <c r="F3" s="123"/>
      <c r="G3" s="142"/>
      <c r="H3" s="143"/>
      <c r="I3" s="142" t="s">
        <v>636</v>
      </c>
      <c r="J3" s="142">
        <v>26.652000000000001</v>
      </c>
      <c r="K3" s="142">
        <v>2.3860000000000001</v>
      </c>
      <c r="L3" s="142">
        <v>26.933</v>
      </c>
      <c r="M3" s="142">
        <v>2.1869999999999998</v>
      </c>
      <c r="N3" s="144"/>
      <c r="O3" s="133"/>
      <c r="P3" s="133"/>
    </row>
    <row r="4" spans="1:16" ht="15" thickBot="1" x14ac:dyDescent="0.35">
      <c r="A4" s="116" t="s">
        <v>89</v>
      </c>
      <c r="B4" s="121" t="s">
        <v>623</v>
      </c>
      <c r="C4" s="116" t="s">
        <v>624</v>
      </c>
      <c r="D4" s="134">
        <v>2025</v>
      </c>
      <c r="E4" s="134">
        <v>44</v>
      </c>
      <c r="F4" s="123"/>
      <c r="G4" s="142"/>
      <c r="H4" s="143"/>
      <c r="I4" s="142" t="s">
        <v>637</v>
      </c>
      <c r="J4" s="142">
        <v>26.913</v>
      </c>
      <c r="K4" s="142">
        <v>2.234</v>
      </c>
      <c r="L4" s="142">
        <v>26.733000000000001</v>
      </c>
      <c r="M4" s="142">
        <v>1.907</v>
      </c>
      <c r="N4" s="133"/>
      <c r="O4" s="133"/>
      <c r="P4" s="133"/>
    </row>
    <row r="5" spans="1:16" s="148" customFormat="1" x14ac:dyDescent="0.3">
      <c r="A5" s="155" t="s">
        <v>99</v>
      </c>
      <c r="B5" s="148" t="s">
        <v>102</v>
      </c>
      <c r="C5" s="156" t="s">
        <v>153</v>
      </c>
      <c r="D5" s="150">
        <v>2025</v>
      </c>
      <c r="E5" s="155">
        <v>58</v>
      </c>
      <c r="F5" s="240" t="s">
        <v>296</v>
      </c>
      <c r="G5" s="241" t="s">
        <v>523</v>
      </c>
      <c r="H5" s="240" t="s">
        <v>548</v>
      </c>
      <c r="I5" s="147" t="s">
        <v>534</v>
      </c>
      <c r="J5" s="147"/>
      <c r="K5" s="147"/>
      <c r="L5" s="147"/>
      <c r="M5" s="147"/>
      <c r="N5" s="147" t="s">
        <v>537</v>
      </c>
      <c r="O5" s="147" t="s">
        <v>538</v>
      </c>
      <c r="P5" s="147" t="s">
        <v>533</v>
      </c>
    </row>
    <row r="6" spans="1:16" s="148" customFormat="1" x14ac:dyDescent="0.3">
      <c r="A6" s="155" t="s">
        <v>99</v>
      </c>
      <c r="B6" s="148" t="s">
        <v>102</v>
      </c>
      <c r="C6" s="156" t="s">
        <v>153</v>
      </c>
      <c r="D6" s="150">
        <v>2025</v>
      </c>
      <c r="E6" s="155">
        <v>58</v>
      </c>
      <c r="F6" s="240"/>
      <c r="G6" s="241"/>
      <c r="H6" s="240"/>
      <c r="I6" s="147" t="s">
        <v>539</v>
      </c>
      <c r="J6" s="147"/>
      <c r="K6" s="147"/>
      <c r="L6" s="147"/>
      <c r="M6" s="147"/>
      <c r="N6" s="147" t="s">
        <v>542</v>
      </c>
      <c r="O6" s="147" t="s">
        <v>544</v>
      </c>
      <c r="P6" s="147" t="s">
        <v>541</v>
      </c>
    </row>
    <row r="7" spans="1:16" s="148" customFormat="1" x14ac:dyDescent="0.3">
      <c r="A7" s="155" t="s">
        <v>99</v>
      </c>
      <c r="B7" s="148" t="s">
        <v>102</v>
      </c>
      <c r="C7" s="156" t="s">
        <v>153</v>
      </c>
      <c r="D7" s="150">
        <v>2025</v>
      </c>
      <c r="E7" s="155">
        <v>58</v>
      </c>
      <c r="F7" s="240"/>
      <c r="G7" s="241"/>
      <c r="H7" s="240"/>
      <c r="I7" s="147" t="s">
        <v>540</v>
      </c>
      <c r="J7" s="147"/>
      <c r="K7" s="147"/>
      <c r="L7" s="147"/>
      <c r="M7" s="147"/>
      <c r="N7" s="147" t="s">
        <v>543</v>
      </c>
      <c r="O7" s="147" t="s">
        <v>545</v>
      </c>
      <c r="P7" s="147" t="s">
        <v>541</v>
      </c>
    </row>
    <row r="8" spans="1:16" x14ac:dyDescent="0.3">
      <c r="A8" s="112" t="s">
        <v>99</v>
      </c>
      <c r="B8" s="112" t="s">
        <v>103</v>
      </c>
      <c r="C8" s="113" t="s">
        <v>169</v>
      </c>
      <c r="D8" s="114">
        <v>2024</v>
      </c>
      <c r="E8" s="112">
        <v>59</v>
      </c>
      <c r="F8" s="244" t="s">
        <v>296</v>
      </c>
      <c r="G8" s="245" t="s">
        <v>523</v>
      </c>
      <c r="H8" s="244" t="s">
        <v>548</v>
      </c>
      <c r="I8" s="116" t="s">
        <v>534</v>
      </c>
      <c r="J8" s="116">
        <v>14.52</v>
      </c>
      <c r="K8" s="116">
        <v>3.82</v>
      </c>
      <c r="L8" s="116">
        <v>15.74</v>
      </c>
      <c r="M8" s="116">
        <v>3.99</v>
      </c>
      <c r="N8" s="116"/>
      <c r="O8" s="116"/>
      <c r="P8" s="116"/>
    </row>
    <row r="9" spans="1:16" x14ac:dyDescent="0.3">
      <c r="A9" s="112" t="s">
        <v>99</v>
      </c>
      <c r="B9" s="112" t="s">
        <v>103</v>
      </c>
      <c r="C9" s="113" t="s">
        <v>169</v>
      </c>
      <c r="D9" s="114">
        <v>2024</v>
      </c>
      <c r="E9" s="112">
        <v>59</v>
      </c>
      <c r="F9" s="244"/>
      <c r="G9" s="245"/>
      <c r="H9" s="244"/>
      <c r="I9" s="116" t="s">
        <v>577</v>
      </c>
      <c r="J9" s="122">
        <v>2.2170000000000001</v>
      </c>
      <c r="K9" s="116"/>
      <c r="L9" s="122">
        <v>0.34799999999999998</v>
      </c>
      <c r="M9" s="116"/>
      <c r="N9" s="116"/>
      <c r="O9" s="116"/>
      <c r="P9" s="116" t="s">
        <v>576</v>
      </c>
    </row>
    <row r="10" spans="1:16" x14ac:dyDescent="0.3">
      <c r="A10" s="112" t="s">
        <v>99</v>
      </c>
      <c r="B10" s="112" t="s">
        <v>103</v>
      </c>
      <c r="C10" s="113" t="s">
        <v>169</v>
      </c>
      <c r="D10" s="114">
        <v>2024</v>
      </c>
      <c r="E10" s="112">
        <v>59</v>
      </c>
      <c r="F10" s="244"/>
      <c r="G10" s="245"/>
      <c r="H10" s="244"/>
      <c r="I10" s="116" t="s">
        <v>540</v>
      </c>
      <c r="J10" s="122">
        <v>0.85899999999999999</v>
      </c>
      <c r="K10" s="116"/>
      <c r="L10" s="122">
        <v>1.1499999999999999</v>
      </c>
      <c r="M10" s="116"/>
      <c r="N10" s="116"/>
      <c r="O10" s="116"/>
      <c r="P10" s="116" t="s">
        <v>576</v>
      </c>
    </row>
    <row r="11" spans="1:16" s="148" customFormat="1" x14ac:dyDescent="0.3">
      <c r="A11" s="155" t="s">
        <v>99</v>
      </c>
      <c r="B11" s="155" t="s">
        <v>104</v>
      </c>
      <c r="C11" s="157" t="s">
        <v>153</v>
      </c>
      <c r="D11" s="150">
        <v>2024</v>
      </c>
      <c r="E11" s="155">
        <v>60</v>
      </c>
      <c r="F11" s="240" t="s">
        <v>296</v>
      </c>
      <c r="G11" s="241" t="s">
        <v>523</v>
      </c>
      <c r="H11" s="240" t="s">
        <v>548</v>
      </c>
      <c r="I11" s="147" t="s">
        <v>534</v>
      </c>
      <c r="J11" s="147">
        <v>14.52</v>
      </c>
      <c r="K11" s="147">
        <v>3.82</v>
      </c>
      <c r="L11" s="147">
        <v>15.74</v>
      </c>
      <c r="M11" s="147">
        <v>3.99</v>
      </c>
      <c r="N11" s="169" t="s">
        <v>574</v>
      </c>
      <c r="O11" s="169" t="s">
        <v>574</v>
      </c>
    </row>
    <row r="12" spans="1:16" s="148" customFormat="1" x14ac:dyDescent="0.3">
      <c r="A12" s="155" t="s">
        <v>99</v>
      </c>
      <c r="B12" s="155" t="s">
        <v>104</v>
      </c>
      <c r="C12" s="157" t="s">
        <v>153</v>
      </c>
      <c r="D12" s="150">
        <v>2024</v>
      </c>
      <c r="E12" s="155">
        <v>60</v>
      </c>
      <c r="F12" s="240"/>
      <c r="G12" s="241"/>
      <c r="H12" s="240"/>
      <c r="I12" s="170" t="s">
        <v>578</v>
      </c>
      <c r="J12" s="147">
        <v>16.739999999999998</v>
      </c>
      <c r="K12" s="148">
        <v>3.67</v>
      </c>
      <c r="L12" s="147">
        <v>16.09</v>
      </c>
      <c r="M12" s="147">
        <v>3.94</v>
      </c>
    </row>
    <row r="13" spans="1:16" s="148" customFormat="1" x14ac:dyDescent="0.3">
      <c r="A13" s="155" t="s">
        <v>99</v>
      </c>
      <c r="B13" s="155" t="s">
        <v>104</v>
      </c>
      <c r="C13" s="157" t="s">
        <v>153</v>
      </c>
      <c r="D13" s="150">
        <v>2024</v>
      </c>
      <c r="E13" s="155">
        <v>60</v>
      </c>
      <c r="F13" s="240"/>
      <c r="G13" s="241"/>
      <c r="H13" s="240"/>
      <c r="I13" s="147" t="s">
        <v>540</v>
      </c>
      <c r="J13" s="147">
        <v>15.53</v>
      </c>
      <c r="K13" s="148">
        <v>3.78</v>
      </c>
      <c r="L13" s="147">
        <v>16.600000000000001</v>
      </c>
      <c r="M13" s="148">
        <v>4.87</v>
      </c>
    </row>
    <row r="14" spans="1:16" x14ac:dyDescent="0.3">
      <c r="A14" s="124" t="s">
        <v>99</v>
      </c>
      <c r="B14" s="124" t="s">
        <v>107</v>
      </c>
      <c r="C14" s="125" t="s">
        <v>223</v>
      </c>
      <c r="D14" s="126">
        <v>2021</v>
      </c>
      <c r="E14" s="124">
        <v>63</v>
      </c>
      <c r="F14" s="242" t="s">
        <v>296</v>
      </c>
      <c r="G14" s="243" t="s">
        <v>523</v>
      </c>
      <c r="H14" s="242" t="s">
        <v>548</v>
      </c>
      <c r="I14" s="127" t="s">
        <v>534</v>
      </c>
      <c r="J14" s="116">
        <v>15.73</v>
      </c>
      <c r="K14" s="121">
        <v>4.2300000000000004</v>
      </c>
      <c r="L14" s="121"/>
      <c r="M14" s="121"/>
      <c r="N14" s="121"/>
      <c r="O14" s="121"/>
      <c r="P14" s="121"/>
    </row>
    <row r="15" spans="1:16" x14ac:dyDescent="0.3">
      <c r="A15" s="124" t="s">
        <v>99</v>
      </c>
      <c r="B15" s="124" t="s">
        <v>107</v>
      </c>
      <c r="C15" s="125" t="s">
        <v>223</v>
      </c>
      <c r="D15" s="126">
        <v>2021</v>
      </c>
      <c r="E15" s="124">
        <v>63</v>
      </c>
      <c r="F15" s="242"/>
      <c r="G15" s="243"/>
      <c r="H15" s="242"/>
      <c r="I15" s="127" t="s">
        <v>578</v>
      </c>
      <c r="J15" s="116">
        <v>17.53</v>
      </c>
      <c r="K15" s="121">
        <v>4.5</v>
      </c>
      <c r="L15" s="121"/>
      <c r="M15" s="121"/>
      <c r="N15" s="121"/>
      <c r="O15" s="121"/>
      <c r="P15" s="121"/>
    </row>
    <row r="16" spans="1:16" s="148" customFormat="1" x14ac:dyDescent="0.3">
      <c r="A16" s="155" t="s">
        <v>99</v>
      </c>
      <c r="B16" s="155" t="s">
        <v>108</v>
      </c>
      <c r="C16" s="154" t="s">
        <v>203</v>
      </c>
      <c r="D16" s="150">
        <v>2021</v>
      </c>
      <c r="E16" s="155">
        <v>64</v>
      </c>
      <c r="F16" s="240" t="s">
        <v>579</v>
      </c>
      <c r="G16" s="240" t="s">
        <v>523</v>
      </c>
      <c r="H16" s="240" t="s">
        <v>548</v>
      </c>
      <c r="I16" s="147" t="s">
        <v>534</v>
      </c>
      <c r="J16" s="147">
        <v>15</v>
      </c>
    </row>
    <row r="17" spans="1:16" s="148" customFormat="1" x14ac:dyDescent="0.3">
      <c r="A17" s="155" t="s">
        <v>99</v>
      </c>
      <c r="B17" s="155" t="s">
        <v>108</v>
      </c>
      <c r="C17" s="154" t="s">
        <v>203</v>
      </c>
      <c r="D17" s="150">
        <v>2021</v>
      </c>
      <c r="E17" s="155">
        <v>64</v>
      </c>
      <c r="F17" s="240"/>
      <c r="G17" s="240"/>
      <c r="H17" s="240"/>
      <c r="I17" s="147" t="s">
        <v>578</v>
      </c>
      <c r="J17" s="147">
        <v>25</v>
      </c>
    </row>
    <row r="18" spans="1:16" s="148" customFormat="1" x14ac:dyDescent="0.3">
      <c r="A18" s="155" t="s">
        <v>99</v>
      </c>
      <c r="B18" s="155" t="s">
        <v>108</v>
      </c>
      <c r="C18" s="154" t="s">
        <v>203</v>
      </c>
      <c r="D18" s="150">
        <v>2021</v>
      </c>
      <c r="E18" s="155">
        <v>64</v>
      </c>
      <c r="F18" s="240"/>
      <c r="G18" s="240"/>
      <c r="H18" s="240"/>
      <c r="I18" s="147" t="s">
        <v>540</v>
      </c>
      <c r="J18" s="147"/>
    </row>
    <row r="19" spans="1:16" s="148" customFormat="1" x14ac:dyDescent="0.3">
      <c r="A19" s="155" t="s">
        <v>99</v>
      </c>
      <c r="B19" s="155" t="s">
        <v>108</v>
      </c>
      <c r="C19" s="154" t="s">
        <v>203</v>
      </c>
      <c r="D19" s="150">
        <v>2021</v>
      </c>
      <c r="E19" s="155">
        <v>64</v>
      </c>
      <c r="F19" s="240" t="s">
        <v>587</v>
      </c>
      <c r="G19" s="240" t="s">
        <v>580</v>
      </c>
      <c r="H19" s="240" t="s">
        <v>582</v>
      </c>
      <c r="I19" s="147" t="s">
        <v>534</v>
      </c>
    </row>
    <row r="20" spans="1:16" s="148" customFormat="1" x14ac:dyDescent="0.3">
      <c r="A20" s="155" t="s">
        <v>99</v>
      </c>
      <c r="B20" s="155" t="s">
        <v>108</v>
      </c>
      <c r="C20" s="154" t="s">
        <v>203</v>
      </c>
      <c r="D20" s="150">
        <v>2021</v>
      </c>
      <c r="E20" s="155">
        <v>64</v>
      </c>
      <c r="F20" s="240"/>
      <c r="G20" s="240"/>
      <c r="H20" s="240"/>
      <c r="I20" s="147" t="s">
        <v>581</v>
      </c>
    </row>
    <row r="21" spans="1:16" s="148" customFormat="1" x14ac:dyDescent="0.3">
      <c r="A21" s="155" t="s">
        <v>99</v>
      </c>
      <c r="B21" s="155" t="s">
        <v>108</v>
      </c>
      <c r="C21" s="154" t="s">
        <v>203</v>
      </c>
      <c r="D21" s="150">
        <v>2021</v>
      </c>
      <c r="E21" s="155">
        <v>64</v>
      </c>
      <c r="F21" s="240"/>
      <c r="G21" s="240"/>
      <c r="H21" s="240"/>
      <c r="I21" s="147" t="s">
        <v>540</v>
      </c>
    </row>
    <row r="22" spans="1:16" s="148" customFormat="1" x14ac:dyDescent="0.3">
      <c r="A22" s="155" t="s">
        <v>99</v>
      </c>
      <c r="B22" s="155" t="s">
        <v>110</v>
      </c>
      <c r="C22" s="154" t="s">
        <v>204</v>
      </c>
      <c r="D22" s="150">
        <v>2025</v>
      </c>
      <c r="E22" s="155">
        <v>66</v>
      </c>
      <c r="F22" s="151" t="s">
        <v>296</v>
      </c>
      <c r="G22" s="147" t="s">
        <v>523</v>
      </c>
      <c r="H22" s="152" t="s">
        <v>548</v>
      </c>
      <c r="I22" s="147" t="s">
        <v>534</v>
      </c>
      <c r="J22" s="148">
        <v>15.93</v>
      </c>
      <c r="K22" s="148">
        <v>4.32</v>
      </c>
      <c r="P22" s="153" t="s">
        <v>765</v>
      </c>
    </row>
    <row r="23" spans="1:16" s="148" customFormat="1" x14ac:dyDescent="0.3">
      <c r="A23" s="155" t="s">
        <v>99</v>
      </c>
      <c r="B23" s="155" t="s">
        <v>111</v>
      </c>
      <c r="C23" s="154" t="s">
        <v>196</v>
      </c>
      <c r="D23" s="150">
        <v>2023</v>
      </c>
      <c r="E23" s="155">
        <v>67</v>
      </c>
      <c r="F23" s="240" t="s">
        <v>586</v>
      </c>
      <c r="G23" s="240" t="s">
        <v>523</v>
      </c>
      <c r="H23" s="240" t="s">
        <v>548</v>
      </c>
      <c r="I23" s="147" t="s">
        <v>534</v>
      </c>
    </row>
    <row r="24" spans="1:16" s="148" customFormat="1" x14ac:dyDescent="0.3">
      <c r="A24" s="155" t="s">
        <v>99</v>
      </c>
      <c r="B24" s="155" t="s">
        <v>111</v>
      </c>
      <c r="C24" s="154" t="s">
        <v>196</v>
      </c>
      <c r="D24" s="150">
        <v>2023</v>
      </c>
      <c r="E24" s="155">
        <v>67</v>
      </c>
      <c r="F24" s="240"/>
      <c r="G24" s="240"/>
      <c r="H24" s="240"/>
      <c r="I24" s="147" t="s">
        <v>588</v>
      </c>
    </row>
    <row r="25" spans="1:16" s="148" customFormat="1" x14ac:dyDescent="0.3">
      <c r="A25" s="155" t="s">
        <v>99</v>
      </c>
      <c r="B25" s="155" t="s">
        <v>111</v>
      </c>
      <c r="C25" s="154" t="s">
        <v>196</v>
      </c>
      <c r="D25" s="150">
        <v>2023</v>
      </c>
      <c r="E25" s="155">
        <v>67</v>
      </c>
      <c r="F25" s="240"/>
      <c r="G25" s="240"/>
      <c r="H25" s="240"/>
      <c r="I25" s="147" t="s">
        <v>589</v>
      </c>
    </row>
    <row r="26" spans="1:16" s="148" customFormat="1" x14ac:dyDescent="0.3">
      <c r="A26" s="155" t="s">
        <v>99</v>
      </c>
      <c r="B26" s="155" t="s">
        <v>111</v>
      </c>
      <c r="C26" s="154" t="s">
        <v>196</v>
      </c>
      <c r="D26" s="150">
        <v>2023</v>
      </c>
      <c r="E26" s="155">
        <v>67</v>
      </c>
      <c r="F26" s="240"/>
      <c r="G26" s="240"/>
      <c r="H26" s="240"/>
      <c r="I26" s="147" t="s">
        <v>590</v>
      </c>
    </row>
    <row r="27" spans="1:16" s="148" customFormat="1" x14ac:dyDescent="0.3">
      <c r="A27" s="155" t="s">
        <v>99</v>
      </c>
      <c r="B27" s="155" t="s">
        <v>111</v>
      </c>
      <c r="C27" s="154" t="s">
        <v>196</v>
      </c>
      <c r="D27" s="150">
        <v>2023</v>
      </c>
      <c r="E27" s="155">
        <v>67</v>
      </c>
      <c r="F27" s="240" t="s">
        <v>583</v>
      </c>
      <c r="G27" s="240" t="s">
        <v>580</v>
      </c>
      <c r="H27" s="240" t="s">
        <v>582</v>
      </c>
      <c r="I27" s="147" t="s">
        <v>534</v>
      </c>
    </row>
    <row r="28" spans="1:16" s="148" customFormat="1" x14ac:dyDescent="0.3">
      <c r="A28" s="155" t="s">
        <v>99</v>
      </c>
      <c r="B28" s="155" t="s">
        <v>111</v>
      </c>
      <c r="C28" s="154" t="s">
        <v>196</v>
      </c>
      <c r="D28" s="150">
        <v>2023</v>
      </c>
      <c r="E28" s="155">
        <v>67</v>
      </c>
      <c r="F28" s="240"/>
      <c r="G28" s="240"/>
      <c r="H28" s="240"/>
      <c r="I28" s="147" t="s">
        <v>588</v>
      </c>
    </row>
    <row r="29" spans="1:16" s="148" customFormat="1" x14ac:dyDescent="0.3">
      <c r="A29" s="155" t="s">
        <v>99</v>
      </c>
      <c r="B29" s="155" t="s">
        <v>111</v>
      </c>
      <c r="C29" s="154" t="s">
        <v>196</v>
      </c>
      <c r="D29" s="150">
        <v>2023</v>
      </c>
      <c r="E29" s="155">
        <v>67</v>
      </c>
      <c r="F29" s="240"/>
      <c r="G29" s="240"/>
      <c r="H29" s="240"/>
      <c r="I29" s="147" t="s">
        <v>589</v>
      </c>
    </row>
    <row r="30" spans="1:16" s="148" customFormat="1" x14ac:dyDescent="0.3">
      <c r="A30" s="155" t="s">
        <v>99</v>
      </c>
      <c r="B30" s="155" t="s">
        <v>111</v>
      </c>
      <c r="C30" s="154" t="s">
        <v>196</v>
      </c>
      <c r="D30" s="150">
        <v>2023</v>
      </c>
      <c r="E30" s="155">
        <v>67</v>
      </c>
      <c r="F30" s="240"/>
      <c r="G30" s="240"/>
      <c r="H30" s="240"/>
      <c r="I30" s="147" t="s">
        <v>590</v>
      </c>
    </row>
    <row r="31" spans="1:16" x14ac:dyDescent="0.3">
      <c r="A31" s="128" t="s">
        <v>114</v>
      </c>
      <c r="B31" s="128" t="s">
        <v>230</v>
      </c>
      <c r="C31" s="128" t="s">
        <v>278</v>
      </c>
      <c r="D31" s="114">
        <v>2024</v>
      </c>
      <c r="E31" s="128">
        <v>75</v>
      </c>
      <c r="F31" s="123" t="s">
        <v>591</v>
      </c>
      <c r="G31" s="116" t="s">
        <v>523</v>
      </c>
      <c r="H31" s="115" t="s">
        <v>548</v>
      </c>
      <c r="I31" s="121"/>
      <c r="J31" s="121"/>
      <c r="K31" s="121"/>
      <c r="L31" s="121"/>
      <c r="M31" s="121"/>
      <c r="N31" s="121"/>
      <c r="O31" s="121"/>
      <c r="P31" s="116" t="s">
        <v>592</v>
      </c>
    </row>
    <row r="32" spans="1:16" x14ac:dyDescent="0.3">
      <c r="A32" s="109" t="s">
        <v>113</v>
      </c>
      <c r="B32" t="s">
        <v>626</v>
      </c>
      <c r="C32" s="4" t="s">
        <v>625</v>
      </c>
      <c r="D32" s="3">
        <v>2019</v>
      </c>
      <c r="E32" s="2">
        <v>97</v>
      </c>
      <c r="F32" s="238" t="s">
        <v>296</v>
      </c>
      <c r="G32" s="238" t="s">
        <v>523</v>
      </c>
      <c r="H32" s="238" t="s">
        <v>548</v>
      </c>
      <c r="I32" s="109" t="s">
        <v>635</v>
      </c>
      <c r="J32" s="119" t="s">
        <v>638</v>
      </c>
      <c r="K32" s="119"/>
      <c r="L32" s="119" t="s">
        <v>641</v>
      </c>
      <c r="P32" s="109" t="s">
        <v>642</v>
      </c>
    </row>
    <row r="33" spans="1:16" x14ac:dyDescent="0.3">
      <c r="A33" s="109" t="s">
        <v>113</v>
      </c>
      <c r="B33" t="s">
        <v>626</v>
      </c>
      <c r="C33" s="4" t="s">
        <v>625</v>
      </c>
      <c r="D33" s="3">
        <v>2019</v>
      </c>
      <c r="E33" s="2">
        <v>97</v>
      </c>
      <c r="F33" s="238"/>
      <c r="G33" s="238"/>
      <c r="H33" s="238"/>
      <c r="I33" s="109" t="s">
        <v>636</v>
      </c>
      <c r="J33" s="119" t="s">
        <v>639</v>
      </c>
      <c r="K33" s="119"/>
      <c r="L33" s="119" t="s">
        <v>638</v>
      </c>
    </row>
    <row r="34" spans="1:16" x14ac:dyDescent="0.3">
      <c r="A34" s="109" t="s">
        <v>113</v>
      </c>
      <c r="B34" t="s">
        <v>626</v>
      </c>
      <c r="C34" s="4" t="s">
        <v>625</v>
      </c>
      <c r="D34" s="3">
        <v>2019</v>
      </c>
      <c r="E34" s="2">
        <v>97</v>
      </c>
      <c r="F34" s="238"/>
      <c r="G34" s="238"/>
      <c r="H34" s="238"/>
      <c r="I34" s="109" t="s">
        <v>637</v>
      </c>
      <c r="J34" s="119" t="s">
        <v>640</v>
      </c>
      <c r="K34" s="119"/>
      <c r="L34" s="119">
        <v>23</v>
      </c>
    </row>
    <row r="35" spans="1:16" s="148" customFormat="1" x14ac:dyDescent="0.3">
      <c r="A35" s="147" t="s">
        <v>113</v>
      </c>
      <c r="B35" s="148" t="s">
        <v>628</v>
      </c>
      <c r="C35" s="149" t="s">
        <v>627</v>
      </c>
      <c r="D35" s="150">
        <v>2020</v>
      </c>
      <c r="E35" s="149">
        <v>98</v>
      </c>
      <c r="F35" s="151" t="s">
        <v>296</v>
      </c>
      <c r="G35" s="147" t="s">
        <v>523</v>
      </c>
      <c r="H35" s="152" t="s">
        <v>548</v>
      </c>
      <c r="I35" s="147" t="s">
        <v>534</v>
      </c>
      <c r="J35" s="148">
        <v>26.9</v>
      </c>
      <c r="K35" s="148">
        <v>2.4</v>
      </c>
      <c r="P35" s="153" t="s">
        <v>766</v>
      </c>
    </row>
    <row r="36" spans="1:16" s="148" customFormat="1" x14ac:dyDescent="0.3">
      <c r="A36" s="147" t="s">
        <v>113</v>
      </c>
      <c r="B36" s="148" t="s">
        <v>630</v>
      </c>
      <c r="C36" s="154" t="s">
        <v>627</v>
      </c>
      <c r="D36" s="150" t="s">
        <v>629</v>
      </c>
      <c r="E36" s="155">
        <v>101</v>
      </c>
      <c r="F36" s="151" t="s">
        <v>296</v>
      </c>
      <c r="G36" s="147" t="s">
        <v>523</v>
      </c>
      <c r="H36" s="152" t="s">
        <v>548</v>
      </c>
      <c r="I36" s="147" t="s">
        <v>534</v>
      </c>
      <c r="J36" s="148">
        <v>26.9</v>
      </c>
      <c r="K36" s="148">
        <v>2.4</v>
      </c>
      <c r="L36" s="148">
        <v>28</v>
      </c>
      <c r="M36" s="148">
        <v>2.1</v>
      </c>
      <c r="P36" s="153" t="s">
        <v>766</v>
      </c>
    </row>
    <row r="37" spans="1:16" x14ac:dyDescent="0.3">
      <c r="A37" s="116" t="s">
        <v>113</v>
      </c>
      <c r="B37" s="121" t="s">
        <v>632</v>
      </c>
      <c r="C37" s="128" t="s">
        <v>631</v>
      </c>
      <c r="D37" s="114">
        <v>2025</v>
      </c>
      <c r="E37" s="128">
        <v>103</v>
      </c>
      <c r="F37" s="123" t="s">
        <v>296</v>
      </c>
      <c r="G37" s="116" t="s">
        <v>523</v>
      </c>
      <c r="H37" s="115" t="s">
        <v>548</v>
      </c>
      <c r="I37" s="116" t="s">
        <v>534</v>
      </c>
      <c r="J37" s="121">
        <v>20.5</v>
      </c>
      <c r="K37" s="121">
        <v>5.27</v>
      </c>
      <c r="L37" s="121">
        <v>19.05</v>
      </c>
      <c r="M37" s="121">
        <v>5.64</v>
      </c>
      <c r="N37" s="121"/>
      <c r="O37" s="121"/>
      <c r="P37" s="121"/>
    </row>
    <row r="38" spans="1:16" s="171" customFormat="1" x14ac:dyDescent="0.3">
      <c r="A38" s="171" t="s">
        <v>127</v>
      </c>
      <c r="B38" s="172" t="s">
        <v>634</v>
      </c>
      <c r="C38" s="173" t="s">
        <v>633</v>
      </c>
      <c r="D38" s="174">
        <v>2021</v>
      </c>
      <c r="E38" s="175">
        <v>127</v>
      </c>
      <c r="F38" s="239" t="s">
        <v>296</v>
      </c>
      <c r="G38" s="239" t="s">
        <v>523</v>
      </c>
      <c r="H38" s="239" t="s">
        <v>548</v>
      </c>
      <c r="I38" s="172" t="s">
        <v>635</v>
      </c>
      <c r="P38" s="172" t="s">
        <v>643</v>
      </c>
    </row>
    <row r="39" spans="1:16" s="171" customFormat="1" x14ac:dyDescent="0.3">
      <c r="B39" s="172" t="s">
        <v>634</v>
      </c>
      <c r="C39" s="173" t="s">
        <v>633</v>
      </c>
      <c r="D39" s="174">
        <v>2021</v>
      </c>
      <c r="E39" s="175">
        <v>127</v>
      </c>
      <c r="F39" s="239"/>
      <c r="G39" s="239"/>
      <c r="H39" s="239"/>
      <c r="I39" s="172" t="s">
        <v>636</v>
      </c>
    </row>
  </sheetData>
  <mergeCells count="30">
    <mergeCell ref="H5:H7"/>
    <mergeCell ref="G5:G7"/>
    <mergeCell ref="F5:F7"/>
    <mergeCell ref="H8:H10"/>
    <mergeCell ref="G8:G10"/>
    <mergeCell ref="F8:F10"/>
    <mergeCell ref="H11:H13"/>
    <mergeCell ref="G11:G13"/>
    <mergeCell ref="F11:F13"/>
    <mergeCell ref="H14:H15"/>
    <mergeCell ref="G14:G15"/>
    <mergeCell ref="F14:F15"/>
    <mergeCell ref="H16:H18"/>
    <mergeCell ref="H19:H21"/>
    <mergeCell ref="G16:G18"/>
    <mergeCell ref="G19:G21"/>
    <mergeCell ref="F16:F18"/>
    <mergeCell ref="F19:F21"/>
    <mergeCell ref="F23:F26"/>
    <mergeCell ref="G23:G26"/>
    <mergeCell ref="H23:H26"/>
    <mergeCell ref="H27:H30"/>
    <mergeCell ref="G27:G30"/>
    <mergeCell ref="F27:F30"/>
    <mergeCell ref="H32:H34"/>
    <mergeCell ref="G32:G34"/>
    <mergeCell ref="F32:F34"/>
    <mergeCell ref="H38:H39"/>
    <mergeCell ref="G38:G39"/>
    <mergeCell ref="F38:F39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BF70-AA7F-41A2-8AC0-EF20AFB986A9}">
  <dimension ref="A1:P45"/>
  <sheetViews>
    <sheetView topLeftCell="B23" workbookViewId="0">
      <selection activeCell="M40" sqref="M40"/>
    </sheetView>
  </sheetViews>
  <sheetFormatPr defaultRowHeight="14.4" x14ac:dyDescent="0.3"/>
  <cols>
    <col min="6" max="6" width="16.88671875" bestFit="1" customWidth="1"/>
    <col min="7" max="7" width="15.6640625" bestFit="1" customWidth="1"/>
    <col min="8" max="8" width="22.77734375" bestFit="1" customWidth="1"/>
    <col min="9" max="9" width="9.77734375" bestFit="1" customWidth="1"/>
    <col min="10" max="13" width="9.77734375" customWidth="1"/>
    <col min="14" max="14" width="11.44140625" bestFit="1" customWidth="1"/>
    <col min="15" max="15" width="11.109375" bestFit="1" customWidth="1"/>
    <col min="16" max="16" width="27.5546875" bestFit="1" customWidth="1"/>
  </cols>
  <sheetData>
    <row r="1" spans="1:16" x14ac:dyDescent="0.3">
      <c r="A1" s="111" t="s">
        <v>0</v>
      </c>
      <c r="B1" s="111" t="s">
        <v>527</v>
      </c>
      <c r="C1" s="111" t="s">
        <v>2</v>
      </c>
      <c r="D1" s="111" t="s">
        <v>3</v>
      </c>
      <c r="E1" s="111" t="s">
        <v>528</v>
      </c>
      <c r="F1" s="111" t="s">
        <v>529</v>
      </c>
      <c r="G1" s="111" t="s">
        <v>530</v>
      </c>
      <c r="H1" s="111" t="s">
        <v>531</v>
      </c>
      <c r="I1" s="111" t="s">
        <v>532</v>
      </c>
      <c r="J1" s="117" t="s">
        <v>568</v>
      </c>
      <c r="K1" s="117" t="s">
        <v>570</v>
      </c>
      <c r="L1" s="118" t="s">
        <v>569</v>
      </c>
      <c r="M1" s="118" t="s">
        <v>571</v>
      </c>
      <c r="N1" s="117" t="s">
        <v>535</v>
      </c>
      <c r="O1" s="118" t="s">
        <v>536</v>
      </c>
      <c r="P1" s="111" t="s">
        <v>547</v>
      </c>
    </row>
    <row r="2" spans="1:16" s="148" customFormat="1" x14ac:dyDescent="0.3">
      <c r="A2" s="155" t="s">
        <v>99</v>
      </c>
      <c r="B2" s="148" t="s">
        <v>102</v>
      </c>
      <c r="C2" s="156" t="s">
        <v>153</v>
      </c>
      <c r="D2" s="150">
        <v>2025</v>
      </c>
      <c r="E2" s="155">
        <v>58</v>
      </c>
      <c r="F2" s="240" t="s">
        <v>546</v>
      </c>
      <c r="G2" s="240" t="s">
        <v>549</v>
      </c>
      <c r="H2" s="241" t="s">
        <v>550</v>
      </c>
      <c r="I2" s="147" t="s">
        <v>534</v>
      </c>
      <c r="J2" s="147"/>
      <c r="K2" s="147"/>
      <c r="L2" s="147"/>
      <c r="M2" s="147"/>
      <c r="N2" s="147" t="s">
        <v>551</v>
      </c>
      <c r="O2" s="147" t="s">
        <v>552</v>
      </c>
      <c r="P2" s="147" t="s">
        <v>533</v>
      </c>
    </row>
    <row r="3" spans="1:16" s="148" customFormat="1" x14ac:dyDescent="0.3">
      <c r="A3" s="155" t="s">
        <v>99</v>
      </c>
      <c r="B3" s="148" t="s">
        <v>102</v>
      </c>
      <c r="C3" s="156" t="s">
        <v>153</v>
      </c>
      <c r="D3" s="150">
        <v>2025</v>
      </c>
      <c r="E3" s="155">
        <v>58</v>
      </c>
      <c r="F3" s="240"/>
      <c r="G3" s="240"/>
      <c r="H3" s="241"/>
      <c r="I3" s="147" t="s">
        <v>539</v>
      </c>
      <c r="J3" s="147"/>
      <c r="K3" s="147"/>
      <c r="L3" s="147"/>
      <c r="M3" s="147"/>
      <c r="N3" s="147" t="s">
        <v>553</v>
      </c>
      <c r="O3" s="147" t="s">
        <v>555</v>
      </c>
      <c r="P3" s="147" t="s">
        <v>541</v>
      </c>
    </row>
    <row r="4" spans="1:16" s="148" customFormat="1" x14ac:dyDescent="0.3">
      <c r="A4" s="155" t="s">
        <v>99</v>
      </c>
      <c r="B4" s="148" t="s">
        <v>102</v>
      </c>
      <c r="C4" s="156" t="s">
        <v>153</v>
      </c>
      <c r="D4" s="150">
        <v>2025</v>
      </c>
      <c r="E4" s="155">
        <v>58</v>
      </c>
      <c r="F4" s="240"/>
      <c r="G4" s="240"/>
      <c r="H4" s="241"/>
      <c r="I4" s="147" t="s">
        <v>540</v>
      </c>
      <c r="J4" s="147"/>
      <c r="K4" s="147"/>
      <c r="L4" s="147"/>
      <c r="M4" s="147"/>
      <c r="N4" s="147" t="s">
        <v>554</v>
      </c>
      <c r="O4" s="147" t="s">
        <v>556</v>
      </c>
      <c r="P4" s="147" t="s">
        <v>541</v>
      </c>
    </row>
    <row r="5" spans="1:16" s="148" customFormat="1" x14ac:dyDescent="0.3">
      <c r="A5" s="155" t="s">
        <v>99</v>
      </c>
      <c r="B5" s="148" t="s">
        <v>102</v>
      </c>
      <c r="C5" s="156" t="s">
        <v>153</v>
      </c>
      <c r="D5" s="150">
        <v>2025</v>
      </c>
      <c r="E5" s="155">
        <v>58</v>
      </c>
      <c r="F5" s="240"/>
      <c r="G5" s="240"/>
      <c r="H5" s="251" t="s">
        <v>557</v>
      </c>
      <c r="I5" s="147" t="s">
        <v>534</v>
      </c>
      <c r="J5" s="147"/>
      <c r="K5" s="147"/>
      <c r="L5" s="147"/>
      <c r="M5" s="147"/>
      <c r="N5" s="147" t="s">
        <v>558</v>
      </c>
      <c r="O5" s="147" t="s">
        <v>558</v>
      </c>
      <c r="P5" s="147" t="s">
        <v>533</v>
      </c>
    </row>
    <row r="6" spans="1:16" s="148" customFormat="1" x14ac:dyDescent="0.3">
      <c r="A6" s="155" t="s">
        <v>99</v>
      </c>
      <c r="B6" s="148" t="s">
        <v>102</v>
      </c>
      <c r="C6" s="156" t="s">
        <v>153</v>
      </c>
      <c r="D6" s="150">
        <v>2025</v>
      </c>
      <c r="E6" s="155">
        <v>58</v>
      </c>
      <c r="F6" s="240"/>
      <c r="G6" s="240"/>
      <c r="H6" s="251"/>
      <c r="I6" s="147" t="s">
        <v>539</v>
      </c>
      <c r="J6" s="147"/>
      <c r="K6" s="147"/>
      <c r="L6" s="147"/>
      <c r="M6" s="147"/>
      <c r="N6" s="148" t="s">
        <v>543</v>
      </c>
      <c r="O6" s="148" t="s">
        <v>560</v>
      </c>
      <c r="P6" s="147" t="s">
        <v>541</v>
      </c>
    </row>
    <row r="7" spans="1:16" s="148" customFormat="1" x14ac:dyDescent="0.3">
      <c r="A7" s="155" t="s">
        <v>99</v>
      </c>
      <c r="B7" s="148" t="s">
        <v>102</v>
      </c>
      <c r="C7" s="156" t="s">
        <v>153</v>
      </c>
      <c r="D7" s="150">
        <v>2025</v>
      </c>
      <c r="E7" s="155">
        <v>58</v>
      </c>
      <c r="F7" s="240"/>
      <c r="G7" s="240"/>
      <c r="H7" s="251"/>
      <c r="I7" s="147" t="s">
        <v>540</v>
      </c>
      <c r="J7" s="147"/>
      <c r="K7" s="147"/>
      <c r="L7" s="147"/>
      <c r="M7" s="147"/>
      <c r="N7" s="148" t="s">
        <v>559</v>
      </c>
      <c r="O7" s="148" t="s">
        <v>560</v>
      </c>
      <c r="P7" s="147" t="s">
        <v>541</v>
      </c>
    </row>
    <row r="8" spans="1:16" s="148" customFormat="1" x14ac:dyDescent="0.3">
      <c r="A8" s="155" t="s">
        <v>99</v>
      </c>
      <c r="B8" s="148" t="s">
        <v>102</v>
      </c>
      <c r="C8" s="156" t="s">
        <v>153</v>
      </c>
      <c r="D8" s="150">
        <v>2025</v>
      </c>
      <c r="E8" s="155">
        <v>58</v>
      </c>
      <c r="F8" s="240"/>
      <c r="G8" s="240"/>
      <c r="H8" s="251" t="s">
        <v>561</v>
      </c>
      <c r="I8" s="147" t="s">
        <v>534</v>
      </c>
      <c r="J8" s="147"/>
      <c r="K8" s="147"/>
      <c r="L8" s="147"/>
      <c r="M8" s="147"/>
      <c r="N8" s="148" t="s">
        <v>562</v>
      </c>
      <c r="O8" s="148" t="s">
        <v>563</v>
      </c>
      <c r="P8" s="147" t="s">
        <v>533</v>
      </c>
    </row>
    <row r="9" spans="1:16" s="148" customFormat="1" x14ac:dyDescent="0.3">
      <c r="A9" s="155" t="s">
        <v>99</v>
      </c>
      <c r="B9" s="148" t="s">
        <v>102</v>
      </c>
      <c r="C9" s="156" t="s">
        <v>153</v>
      </c>
      <c r="D9" s="150">
        <v>2025</v>
      </c>
      <c r="E9" s="155">
        <v>58</v>
      </c>
      <c r="F9" s="240"/>
      <c r="G9" s="240"/>
      <c r="H9" s="251"/>
      <c r="I9" s="147" t="s">
        <v>539</v>
      </c>
      <c r="J9" s="147"/>
      <c r="K9" s="147"/>
      <c r="L9" s="147"/>
      <c r="M9" s="147"/>
      <c r="N9" s="148" t="s">
        <v>564</v>
      </c>
      <c r="O9" s="147" t="s">
        <v>566</v>
      </c>
      <c r="P9" s="147" t="s">
        <v>541</v>
      </c>
    </row>
    <row r="10" spans="1:16" s="148" customFormat="1" x14ac:dyDescent="0.3">
      <c r="A10" s="155" t="s">
        <v>99</v>
      </c>
      <c r="B10" s="148" t="s">
        <v>102</v>
      </c>
      <c r="C10" s="156" t="s">
        <v>153</v>
      </c>
      <c r="D10" s="150">
        <v>2025</v>
      </c>
      <c r="E10" s="155">
        <v>58</v>
      </c>
      <c r="F10" s="240"/>
      <c r="G10" s="240"/>
      <c r="H10" s="251"/>
      <c r="I10" s="147" t="s">
        <v>540</v>
      </c>
      <c r="J10" s="147"/>
      <c r="K10" s="147"/>
      <c r="L10" s="147"/>
      <c r="M10" s="147"/>
      <c r="N10" s="148" t="s">
        <v>565</v>
      </c>
      <c r="O10" s="148" t="s">
        <v>567</v>
      </c>
      <c r="P10" s="147" t="s">
        <v>541</v>
      </c>
    </row>
    <row r="11" spans="1:16" x14ac:dyDescent="0.3">
      <c r="A11" s="112" t="s">
        <v>99</v>
      </c>
      <c r="B11" s="112" t="s">
        <v>103</v>
      </c>
      <c r="C11" s="113" t="s">
        <v>169</v>
      </c>
      <c r="D11" s="114">
        <v>2024</v>
      </c>
      <c r="E11" s="112">
        <v>59</v>
      </c>
      <c r="F11" s="244" t="s">
        <v>546</v>
      </c>
      <c r="G11" s="244" t="s">
        <v>549</v>
      </c>
      <c r="H11" s="248" t="s">
        <v>550</v>
      </c>
      <c r="I11" s="116" t="s">
        <v>534</v>
      </c>
      <c r="J11" s="116">
        <v>14.78</v>
      </c>
      <c r="K11" s="116">
        <v>5.95</v>
      </c>
      <c r="L11" s="116">
        <v>14.83</v>
      </c>
      <c r="M11" s="116">
        <v>4.54</v>
      </c>
      <c r="N11" s="121"/>
      <c r="O11" s="121"/>
      <c r="P11" s="116"/>
    </row>
    <row r="12" spans="1:16" x14ac:dyDescent="0.3">
      <c r="A12" s="112" t="s">
        <v>99</v>
      </c>
      <c r="B12" s="112" t="s">
        <v>103</v>
      </c>
      <c r="C12" s="113" t="s">
        <v>169</v>
      </c>
      <c r="D12" s="114">
        <v>2024</v>
      </c>
      <c r="E12" s="112">
        <v>59</v>
      </c>
      <c r="F12" s="244"/>
      <c r="G12" s="244"/>
      <c r="H12" s="248"/>
      <c r="I12" s="116" t="s">
        <v>577</v>
      </c>
      <c r="J12" s="122">
        <v>1.6519999999999999</v>
      </c>
      <c r="K12" s="116"/>
      <c r="L12" s="122">
        <v>-1.3480000000000001</v>
      </c>
      <c r="M12" s="116"/>
      <c r="N12" s="121"/>
      <c r="O12" s="121"/>
      <c r="P12" s="116" t="s">
        <v>575</v>
      </c>
    </row>
    <row r="13" spans="1:16" x14ac:dyDescent="0.3">
      <c r="A13" s="112" t="s">
        <v>99</v>
      </c>
      <c r="B13" s="112" t="s">
        <v>103</v>
      </c>
      <c r="C13" s="113" t="s">
        <v>169</v>
      </c>
      <c r="D13" s="114">
        <v>2024</v>
      </c>
      <c r="E13" s="112">
        <v>59</v>
      </c>
      <c r="F13" s="244"/>
      <c r="G13" s="244"/>
      <c r="H13" s="248"/>
      <c r="I13" s="116" t="s">
        <v>540</v>
      </c>
      <c r="J13" s="122">
        <v>1.0269999999999999</v>
      </c>
      <c r="K13" s="116"/>
      <c r="L13" s="122">
        <v>-0.49299999999999999</v>
      </c>
      <c r="M13" s="116"/>
      <c r="N13" s="121"/>
      <c r="O13" s="121"/>
      <c r="P13" s="116" t="s">
        <v>575</v>
      </c>
    </row>
    <row r="14" spans="1:16" x14ac:dyDescent="0.3">
      <c r="A14" s="112" t="s">
        <v>99</v>
      </c>
      <c r="B14" s="112" t="s">
        <v>103</v>
      </c>
      <c r="C14" s="113" t="s">
        <v>169</v>
      </c>
      <c r="D14" s="114">
        <v>2024</v>
      </c>
      <c r="E14" s="112">
        <v>59</v>
      </c>
      <c r="F14" s="244"/>
      <c r="G14" s="244"/>
      <c r="H14" s="248" t="s">
        <v>557</v>
      </c>
      <c r="I14" s="116" t="s">
        <v>534</v>
      </c>
      <c r="J14" s="116">
        <v>1.04</v>
      </c>
      <c r="K14" s="116">
        <v>1.29</v>
      </c>
      <c r="L14" s="116">
        <v>1</v>
      </c>
      <c r="M14" s="116">
        <v>1.2</v>
      </c>
      <c r="N14" s="121"/>
      <c r="O14" s="121"/>
      <c r="P14" s="116"/>
    </row>
    <row r="15" spans="1:16" x14ac:dyDescent="0.3">
      <c r="A15" s="112" t="s">
        <v>99</v>
      </c>
      <c r="B15" s="112" t="s">
        <v>103</v>
      </c>
      <c r="C15" s="113" t="s">
        <v>169</v>
      </c>
      <c r="D15" s="114">
        <v>2024</v>
      </c>
      <c r="E15" s="112">
        <v>59</v>
      </c>
      <c r="F15" s="244"/>
      <c r="G15" s="244"/>
      <c r="H15" s="248"/>
      <c r="I15" s="116" t="s">
        <v>577</v>
      </c>
      <c r="J15" s="122">
        <v>1.87</v>
      </c>
      <c r="K15" s="116"/>
      <c r="L15" s="122">
        <v>-0.13</v>
      </c>
      <c r="M15" s="116"/>
      <c r="N15" s="121"/>
      <c r="O15" s="121"/>
      <c r="P15" s="116" t="s">
        <v>575</v>
      </c>
    </row>
    <row r="16" spans="1:16" x14ac:dyDescent="0.3">
      <c r="A16" s="112" t="s">
        <v>99</v>
      </c>
      <c r="B16" s="112" t="s">
        <v>103</v>
      </c>
      <c r="C16" s="113" t="s">
        <v>169</v>
      </c>
      <c r="D16" s="114">
        <v>2024</v>
      </c>
      <c r="E16" s="112">
        <v>59</v>
      </c>
      <c r="F16" s="244"/>
      <c r="G16" s="244"/>
      <c r="H16" s="248"/>
      <c r="I16" s="116" t="s">
        <v>540</v>
      </c>
      <c r="J16" s="122">
        <v>0.90900000000000003</v>
      </c>
      <c r="K16" s="116"/>
      <c r="L16" s="122">
        <v>5.6000000000000001E-2</v>
      </c>
      <c r="M16" s="116"/>
      <c r="N16" s="121"/>
      <c r="O16" s="121"/>
      <c r="P16" s="116" t="s">
        <v>575</v>
      </c>
    </row>
    <row r="17" spans="1:16" x14ac:dyDescent="0.3">
      <c r="A17" s="112" t="s">
        <v>99</v>
      </c>
      <c r="B17" s="112" t="s">
        <v>103</v>
      </c>
      <c r="C17" s="113" t="s">
        <v>169</v>
      </c>
      <c r="D17" s="114">
        <v>2024</v>
      </c>
      <c r="E17" s="112">
        <v>59</v>
      </c>
      <c r="F17" s="244"/>
      <c r="G17" s="244"/>
      <c r="H17" s="248" t="s">
        <v>561</v>
      </c>
      <c r="I17" s="116" t="s">
        <v>534</v>
      </c>
      <c r="J17" s="116">
        <v>6.09</v>
      </c>
      <c r="K17" s="116">
        <v>3.48</v>
      </c>
      <c r="L17" s="116">
        <v>5.65</v>
      </c>
      <c r="M17" s="116">
        <v>2.98</v>
      </c>
      <c r="N17" s="121"/>
      <c r="O17" s="121"/>
      <c r="P17" s="116"/>
    </row>
    <row r="18" spans="1:16" x14ac:dyDescent="0.3">
      <c r="A18" s="112" t="s">
        <v>99</v>
      </c>
      <c r="B18" s="112" t="s">
        <v>103</v>
      </c>
      <c r="C18" s="113" t="s">
        <v>169</v>
      </c>
      <c r="D18" s="114">
        <v>2024</v>
      </c>
      <c r="E18" s="112">
        <v>59</v>
      </c>
      <c r="F18" s="244"/>
      <c r="G18" s="244"/>
      <c r="H18" s="248"/>
      <c r="I18" s="116" t="s">
        <v>577</v>
      </c>
      <c r="J18" s="122">
        <v>0.47799999999999998</v>
      </c>
      <c r="K18" s="116"/>
      <c r="L18" s="122">
        <v>0.54300000000000004</v>
      </c>
      <c r="M18" s="116"/>
      <c r="N18" s="121"/>
      <c r="O18" s="121"/>
      <c r="P18" s="116" t="s">
        <v>575</v>
      </c>
    </row>
    <row r="19" spans="1:16" x14ac:dyDescent="0.3">
      <c r="A19" s="112" t="s">
        <v>99</v>
      </c>
      <c r="B19" s="112" t="s">
        <v>103</v>
      </c>
      <c r="C19" s="113" t="s">
        <v>169</v>
      </c>
      <c r="D19" s="114">
        <v>2024</v>
      </c>
      <c r="E19" s="112">
        <v>59</v>
      </c>
      <c r="F19" s="244"/>
      <c r="G19" s="244"/>
      <c r="H19" s="248"/>
      <c r="I19" s="116" t="s">
        <v>540</v>
      </c>
      <c r="J19" s="122">
        <v>-1.0389999999999999</v>
      </c>
      <c r="K19" s="116"/>
      <c r="L19" s="122">
        <v>1.4E-2</v>
      </c>
      <c r="M19" s="116"/>
      <c r="N19" s="121"/>
      <c r="O19" s="121"/>
      <c r="P19" s="116" t="s">
        <v>575</v>
      </c>
    </row>
    <row r="20" spans="1:16" s="148" customFormat="1" x14ac:dyDescent="0.3">
      <c r="A20" s="155" t="s">
        <v>99</v>
      </c>
      <c r="B20" s="155" t="s">
        <v>104</v>
      </c>
      <c r="C20" s="157" t="s">
        <v>153</v>
      </c>
      <c r="D20" s="150">
        <v>2024</v>
      </c>
      <c r="E20" s="155">
        <v>60</v>
      </c>
      <c r="F20" s="240" t="s">
        <v>546</v>
      </c>
      <c r="G20" s="240" t="s">
        <v>549</v>
      </c>
      <c r="H20" s="251" t="s">
        <v>550</v>
      </c>
      <c r="I20" s="147" t="s">
        <v>534</v>
      </c>
      <c r="J20" s="147">
        <v>14.78</v>
      </c>
      <c r="K20" s="147">
        <v>5.95</v>
      </c>
      <c r="L20" s="147">
        <v>14.83</v>
      </c>
      <c r="M20" s="147">
        <v>4.54</v>
      </c>
    </row>
    <row r="21" spans="1:16" s="148" customFormat="1" x14ac:dyDescent="0.3">
      <c r="A21" s="155" t="s">
        <v>99</v>
      </c>
      <c r="B21" s="155" t="s">
        <v>104</v>
      </c>
      <c r="C21" s="157" t="s">
        <v>153</v>
      </c>
      <c r="D21" s="150">
        <v>2024</v>
      </c>
      <c r="E21" s="155">
        <v>60</v>
      </c>
      <c r="F21" s="240"/>
      <c r="G21" s="240"/>
      <c r="H21" s="251"/>
      <c r="I21" s="147" t="s">
        <v>578</v>
      </c>
      <c r="J21" s="147">
        <v>16.43</v>
      </c>
      <c r="K21" s="147">
        <v>7.31</v>
      </c>
      <c r="L21" s="147">
        <v>13.48</v>
      </c>
      <c r="M21" s="147">
        <v>4.82</v>
      </c>
    </row>
    <row r="22" spans="1:16" s="148" customFormat="1" x14ac:dyDescent="0.3">
      <c r="A22" s="155" t="s">
        <v>99</v>
      </c>
      <c r="B22" s="155" t="s">
        <v>104</v>
      </c>
      <c r="C22" s="157" t="s">
        <v>153</v>
      </c>
      <c r="D22" s="150">
        <v>2024</v>
      </c>
      <c r="E22" s="155">
        <v>60</v>
      </c>
      <c r="F22" s="240"/>
      <c r="G22" s="240"/>
      <c r="H22" s="251"/>
      <c r="I22" s="147" t="s">
        <v>540</v>
      </c>
      <c r="J22" s="147">
        <v>16.21</v>
      </c>
      <c r="K22" s="147">
        <v>7.36</v>
      </c>
      <c r="L22" s="147">
        <v>14.1</v>
      </c>
      <c r="M22" s="147">
        <v>4.68</v>
      </c>
    </row>
    <row r="23" spans="1:16" s="148" customFormat="1" x14ac:dyDescent="0.3">
      <c r="A23" s="155" t="s">
        <v>99</v>
      </c>
      <c r="B23" s="155" t="s">
        <v>104</v>
      </c>
      <c r="C23" s="157" t="s">
        <v>153</v>
      </c>
      <c r="D23" s="150">
        <v>2024</v>
      </c>
      <c r="E23" s="155">
        <v>60</v>
      </c>
      <c r="F23" s="240"/>
      <c r="G23" s="240"/>
      <c r="H23" s="251" t="s">
        <v>557</v>
      </c>
      <c r="I23" s="147" t="s">
        <v>534</v>
      </c>
      <c r="J23" s="147">
        <v>1.04</v>
      </c>
      <c r="K23" s="147">
        <v>1.3</v>
      </c>
      <c r="L23" s="147">
        <v>1</v>
      </c>
      <c r="M23" s="147">
        <v>1.21</v>
      </c>
    </row>
    <row r="24" spans="1:16" s="148" customFormat="1" x14ac:dyDescent="0.3">
      <c r="A24" s="155" t="s">
        <v>99</v>
      </c>
      <c r="B24" s="155" t="s">
        <v>104</v>
      </c>
      <c r="C24" s="157" t="s">
        <v>153</v>
      </c>
      <c r="D24" s="150">
        <v>2024</v>
      </c>
      <c r="E24" s="155">
        <v>60</v>
      </c>
      <c r="F24" s="240"/>
      <c r="G24" s="240"/>
      <c r="H24" s="251"/>
      <c r="I24" s="147" t="s">
        <v>578</v>
      </c>
      <c r="J24" s="147">
        <v>2.91</v>
      </c>
      <c r="K24" s="147">
        <v>4.1100000000000003</v>
      </c>
      <c r="L24" s="147">
        <v>0.87</v>
      </c>
      <c r="M24" s="147">
        <v>1.42</v>
      </c>
    </row>
    <row r="25" spans="1:16" s="148" customFormat="1" x14ac:dyDescent="0.3">
      <c r="A25" s="155" t="s">
        <v>99</v>
      </c>
      <c r="B25" s="155" t="s">
        <v>104</v>
      </c>
      <c r="C25" s="157" t="s">
        <v>153</v>
      </c>
      <c r="D25" s="150">
        <v>2024</v>
      </c>
      <c r="E25" s="155">
        <v>60</v>
      </c>
      <c r="F25" s="240"/>
      <c r="G25" s="240"/>
      <c r="H25" s="251"/>
      <c r="I25" s="147" t="s">
        <v>540</v>
      </c>
      <c r="J25" s="147">
        <v>3.29</v>
      </c>
      <c r="K25" s="147">
        <v>2.0499999999999998</v>
      </c>
      <c r="L25" s="147">
        <v>1.05</v>
      </c>
      <c r="M25" s="147">
        <v>1.64</v>
      </c>
    </row>
    <row r="26" spans="1:16" s="148" customFormat="1" x14ac:dyDescent="0.3">
      <c r="A26" s="155" t="s">
        <v>99</v>
      </c>
      <c r="B26" s="155" t="s">
        <v>104</v>
      </c>
      <c r="C26" s="157" t="s">
        <v>153</v>
      </c>
      <c r="D26" s="150">
        <v>2024</v>
      </c>
      <c r="E26" s="155">
        <v>60</v>
      </c>
      <c r="F26" s="240"/>
      <c r="G26" s="240"/>
      <c r="H26" s="251" t="s">
        <v>561</v>
      </c>
      <c r="I26" s="147" t="s">
        <v>534</v>
      </c>
      <c r="J26" s="147">
        <v>6.09</v>
      </c>
      <c r="K26" s="147">
        <v>3.48</v>
      </c>
      <c r="L26" s="147">
        <v>5.65</v>
      </c>
      <c r="M26" s="147">
        <v>2.98</v>
      </c>
    </row>
    <row r="27" spans="1:16" s="148" customFormat="1" x14ac:dyDescent="0.3">
      <c r="A27" s="155" t="s">
        <v>99</v>
      </c>
      <c r="B27" s="155" t="s">
        <v>104</v>
      </c>
      <c r="C27" s="157" t="s">
        <v>153</v>
      </c>
      <c r="D27" s="150">
        <v>2024</v>
      </c>
      <c r="E27" s="155">
        <v>60</v>
      </c>
      <c r="F27" s="240"/>
      <c r="G27" s="240"/>
      <c r="H27" s="251"/>
      <c r="I27" s="147" t="s">
        <v>578</v>
      </c>
      <c r="J27" s="147">
        <v>6.57</v>
      </c>
      <c r="K27" s="147">
        <v>3.82</v>
      </c>
      <c r="L27" s="147">
        <v>5.43</v>
      </c>
      <c r="M27" s="147">
        <v>3.95</v>
      </c>
    </row>
    <row r="28" spans="1:16" s="148" customFormat="1" x14ac:dyDescent="0.3">
      <c r="A28" s="155" t="s">
        <v>99</v>
      </c>
      <c r="B28" s="155" t="s">
        <v>104</v>
      </c>
      <c r="C28" s="157" t="s">
        <v>153</v>
      </c>
      <c r="D28" s="150">
        <v>2024</v>
      </c>
      <c r="E28" s="155">
        <v>60</v>
      </c>
      <c r="F28" s="240"/>
      <c r="G28" s="240"/>
      <c r="H28" s="251"/>
      <c r="I28" s="147" t="s">
        <v>540</v>
      </c>
      <c r="J28" s="147">
        <v>5</v>
      </c>
      <c r="K28" s="147">
        <v>3.61</v>
      </c>
      <c r="L28" s="147">
        <v>5.65</v>
      </c>
      <c r="M28" s="147">
        <v>2.96</v>
      </c>
    </row>
    <row r="29" spans="1:16" x14ac:dyDescent="0.3">
      <c r="A29" s="112" t="s">
        <v>99</v>
      </c>
      <c r="B29" s="112" t="s">
        <v>105</v>
      </c>
      <c r="C29" s="120" t="s">
        <v>189</v>
      </c>
      <c r="D29" s="114">
        <v>2022</v>
      </c>
      <c r="E29" s="112">
        <v>61</v>
      </c>
      <c r="F29" s="244" t="s">
        <v>546</v>
      </c>
      <c r="G29" s="244" t="s">
        <v>549</v>
      </c>
      <c r="H29" s="245" t="s">
        <v>550</v>
      </c>
      <c r="I29" s="116" t="s">
        <v>534</v>
      </c>
      <c r="J29" s="121">
        <v>18.399999999999999</v>
      </c>
      <c r="K29" s="121">
        <v>6.9</v>
      </c>
      <c r="L29" s="121">
        <v>20.3</v>
      </c>
      <c r="M29" s="121">
        <v>6.5</v>
      </c>
      <c r="N29" s="121"/>
      <c r="O29" s="121"/>
      <c r="P29" s="121"/>
    </row>
    <row r="30" spans="1:16" x14ac:dyDescent="0.3">
      <c r="A30" s="112" t="s">
        <v>99</v>
      </c>
      <c r="B30" s="112" t="s">
        <v>105</v>
      </c>
      <c r="C30" s="120" t="s">
        <v>189</v>
      </c>
      <c r="D30" s="114">
        <v>2022</v>
      </c>
      <c r="E30" s="112">
        <v>61</v>
      </c>
      <c r="F30" s="244"/>
      <c r="G30" s="244"/>
      <c r="H30" s="245"/>
      <c r="I30" s="116" t="s">
        <v>578</v>
      </c>
      <c r="J30" s="116">
        <v>25.6</v>
      </c>
      <c r="K30" s="116">
        <v>8.4</v>
      </c>
      <c r="L30" s="116">
        <v>18.7</v>
      </c>
      <c r="M30" s="116">
        <v>6.3</v>
      </c>
      <c r="N30" s="121"/>
      <c r="O30" s="121"/>
      <c r="P30" s="121"/>
    </row>
    <row r="31" spans="1:16" x14ac:dyDescent="0.3">
      <c r="A31" s="112" t="s">
        <v>99</v>
      </c>
      <c r="B31" s="112" t="s">
        <v>105</v>
      </c>
      <c r="C31" s="120" t="s">
        <v>189</v>
      </c>
      <c r="D31" s="114">
        <v>2022</v>
      </c>
      <c r="E31" s="112">
        <v>61</v>
      </c>
      <c r="F31" s="244"/>
      <c r="G31" s="244"/>
      <c r="H31" s="248" t="s">
        <v>557</v>
      </c>
      <c r="I31" s="116" t="s">
        <v>534</v>
      </c>
      <c r="J31" s="116">
        <v>1.5</v>
      </c>
      <c r="K31" s="116">
        <v>1.4</v>
      </c>
      <c r="L31" s="116">
        <v>1.4</v>
      </c>
      <c r="M31" s="116">
        <v>1.5</v>
      </c>
      <c r="N31" s="121"/>
      <c r="O31" s="121"/>
      <c r="P31" s="121"/>
    </row>
    <row r="32" spans="1:16" x14ac:dyDescent="0.3">
      <c r="A32" s="112" t="s">
        <v>99</v>
      </c>
      <c r="B32" s="112" t="s">
        <v>105</v>
      </c>
      <c r="C32" s="120" t="s">
        <v>189</v>
      </c>
      <c r="D32" s="114">
        <v>2022</v>
      </c>
      <c r="E32" s="112">
        <v>61</v>
      </c>
      <c r="F32" s="244"/>
      <c r="G32" s="244"/>
      <c r="H32" s="248"/>
      <c r="I32" s="116" t="s">
        <v>578</v>
      </c>
      <c r="J32" s="116">
        <v>2.5</v>
      </c>
      <c r="K32" s="116">
        <v>2.1</v>
      </c>
      <c r="L32" s="116">
        <v>1</v>
      </c>
      <c r="M32" s="116">
        <v>1.2</v>
      </c>
      <c r="N32" s="121"/>
      <c r="O32" s="121"/>
      <c r="P32" s="121"/>
    </row>
    <row r="33" spans="1:16" x14ac:dyDescent="0.3">
      <c r="A33" s="36" t="s">
        <v>99</v>
      </c>
      <c r="B33" s="36" t="s">
        <v>109</v>
      </c>
      <c r="C33" s="37" t="s">
        <v>205</v>
      </c>
      <c r="D33" s="38">
        <v>2021</v>
      </c>
      <c r="E33" s="36">
        <v>65</v>
      </c>
      <c r="F33" s="249" t="s">
        <v>546</v>
      </c>
      <c r="G33" s="249" t="s">
        <v>549</v>
      </c>
      <c r="H33" s="250" t="s">
        <v>584</v>
      </c>
      <c r="I33" s="109" t="s">
        <v>534</v>
      </c>
      <c r="J33" s="109">
        <v>18.899999999999999</v>
      </c>
      <c r="K33" s="109">
        <v>8.4</v>
      </c>
      <c r="L33" s="109">
        <v>19.5</v>
      </c>
      <c r="M33" s="109">
        <v>6.6</v>
      </c>
    </row>
    <row r="34" spans="1:16" x14ac:dyDescent="0.3">
      <c r="A34" s="36" t="s">
        <v>99</v>
      </c>
      <c r="B34" s="36" t="s">
        <v>109</v>
      </c>
      <c r="C34" s="37" t="s">
        <v>205</v>
      </c>
      <c r="D34" s="38">
        <v>2021</v>
      </c>
      <c r="E34" s="36">
        <v>65</v>
      </c>
      <c r="F34" s="249"/>
      <c r="G34" s="249"/>
      <c r="H34" s="250"/>
      <c r="I34" s="109" t="s">
        <v>578</v>
      </c>
      <c r="J34" s="109">
        <v>25.1</v>
      </c>
      <c r="K34" s="109">
        <v>8.6999999999999993</v>
      </c>
      <c r="L34" s="109">
        <v>19.399999999999999</v>
      </c>
      <c r="M34" s="109">
        <v>6.8</v>
      </c>
    </row>
    <row r="35" spans="1:16" x14ac:dyDescent="0.3">
      <c r="A35" s="36" t="s">
        <v>99</v>
      </c>
      <c r="B35" s="36" t="s">
        <v>109</v>
      </c>
      <c r="C35" s="37" t="s">
        <v>205</v>
      </c>
      <c r="D35" s="38">
        <v>2021</v>
      </c>
      <c r="E35" s="36">
        <v>65</v>
      </c>
      <c r="F35" s="249"/>
      <c r="G35" s="249"/>
      <c r="H35" s="246" t="s">
        <v>557</v>
      </c>
      <c r="I35" s="109" t="s">
        <v>534</v>
      </c>
      <c r="J35" s="109">
        <v>1.7</v>
      </c>
      <c r="K35" s="109">
        <v>1.4</v>
      </c>
      <c r="L35" s="109">
        <v>1.5</v>
      </c>
      <c r="M35" s="109">
        <v>1.5</v>
      </c>
    </row>
    <row r="36" spans="1:16" x14ac:dyDescent="0.3">
      <c r="A36" s="36" t="s">
        <v>99</v>
      </c>
      <c r="B36" s="36" t="s">
        <v>109</v>
      </c>
      <c r="C36" s="37" t="s">
        <v>205</v>
      </c>
      <c r="D36" s="38">
        <v>2021</v>
      </c>
      <c r="E36" s="36">
        <v>65</v>
      </c>
      <c r="F36" s="249"/>
      <c r="G36" s="249"/>
      <c r="H36" s="246"/>
      <c r="I36" s="109" t="s">
        <v>578</v>
      </c>
      <c r="J36" s="109">
        <v>2.8</v>
      </c>
      <c r="K36" s="109">
        <v>1.9</v>
      </c>
      <c r="L36" s="109">
        <v>1.6</v>
      </c>
      <c r="M36" s="109">
        <v>1.5</v>
      </c>
    </row>
    <row r="37" spans="1:16" s="148" customFormat="1" x14ac:dyDescent="0.3">
      <c r="A37" s="155" t="s">
        <v>99</v>
      </c>
      <c r="B37" s="155" t="s">
        <v>110</v>
      </c>
      <c r="C37" s="154" t="s">
        <v>204</v>
      </c>
      <c r="D37" s="150">
        <v>2025</v>
      </c>
      <c r="E37" s="155">
        <v>66</v>
      </c>
      <c r="F37" s="151" t="s">
        <v>506</v>
      </c>
      <c r="G37" s="151" t="s">
        <v>549</v>
      </c>
      <c r="H37" s="147" t="s">
        <v>584</v>
      </c>
      <c r="I37" s="147" t="s">
        <v>534</v>
      </c>
      <c r="J37" s="147">
        <v>43.79</v>
      </c>
      <c r="K37" s="147">
        <v>11.88</v>
      </c>
      <c r="P37" s="147" t="s">
        <v>585</v>
      </c>
    </row>
    <row r="38" spans="1:16" x14ac:dyDescent="0.3">
      <c r="A38" t="s">
        <v>120</v>
      </c>
      <c r="B38" t="s">
        <v>282</v>
      </c>
      <c r="C38" s="39" t="s">
        <v>189</v>
      </c>
      <c r="D38" s="3">
        <v>2024</v>
      </c>
      <c r="E38" s="39">
        <v>57</v>
      </c>
      <c r="F38" s="238" t="s">
        <v>506</v>
      </c>
      <c r="G38" s="238" t="s">
        <v>549</v>
      </c>
      <c r="H38" s="246" t="s">
        <v>550</v>
      </c>
      <c r="I38" s="109" t="s">
        <v>534</v>
      </c>
      <c r="P38" s="109" t="s">
        <v>593</v>
      </c>
    </row>
    <row r="39" spans="1:16" x14ac:dyDescent="0.3">
      <c r="A39" t="s">
        <v>120</v>
      </c>
      <c r="B39" t="s">
        <v>282</v>
      </c>
      <c r="C39" s="39" t="s">
        <v>189</v>
      </c>
      <c r="D39" s="3">
        <v>2024</v>
      </c>
      <c r="E39" s="39">
        <v>57</v>
      </c>
      <c r="F39" s="238"/>
      <c r="G39" s="238"/>
      <c r="H39" s="246"/>
      <c r="I39" s="109" t="s">
        <v>578</v>
      </c>
    </row>
    <row r="40" spans="1:16" x14ac:dyDescent="0.3">
      <c r="A40" t="s">
        <v>120</v>
      </c>
      <c r="B40" t="s">
        <v>282</v>
      </c>
      <c r="C40" s="39" t="s">
        <v>189</v>
      </c>
      <c r="D40" s="3">
        <v>2024</v>
      </c>
      <c r="E40" s="39">
        <v>57</v>
      </c>
      <c r="F40" s="238"/>
      <c r="G40" s="238"/>
      <c r="H40" s="246" t="s">
        <v>557</v>
      </c>
      <c r="I40" s="109" t="s">
        <v>534</v>
      </c>
    </row>
    <row r="41" spans="1:16" x14ac:dyDescent="0.3">
      <c r="A41" t="s">
        <v>120</v>
      </c>
      <c r="B41" t="s">
        <v>282</v>
      </c>
      <c r="C41" s="39" t="s">
        <v>189</v>
      </c>
      <c r="D41" s="3">
        <v>2024</v>
      </c>
      <c r="E41" s="39">
        <v>57</v>
      </c>
      <c r="F41" s="238"/>
      <c r="G41" s="238"/>
      <c r="H41" s="246"/>
      <c r="I41" s="109" t="s">
        <v>578</v>
      </c>
    </row>
    <row r="42" spans="1:16" x14ac:dyDescent="0.3">
      <c r="A42" s="116" t="s">
        <v>117</v>
      </c>
      <c r="B42" s="121" t="s">
        <v>314</v>
      </c>
      <c r="C42" s="128" t="s">
        <v>335</v>
      </c>
      <c r="D42" s="114">
        <v>2025</v>
      </c>
      <c r="E42" s="128">
        <v>93</v>
      </c>
      <c r="F42" s="244" t="s">
        <v>506</v>
      </c>
      <c r="G42" s="244" t="s">
        <v>549</v>
      </c>
      <c r="H42" s="247" t="s">
        <v>550</v>
      </c>
      <c r="I42" s="116" t="s">
        <v>534</v>
      </c>
      <c r="J42" s="121"/>
      <c r="K42" s="121"/>
      <c r="L42" s="121"/>
      <c r="M42" s="121"/>
      <c r="N42" s="121"/>
      <c r="O42" s="121"/>
      <c r="P42" s="121"/>
    </row>
    <row r="43" spans="1:16" x14ac:dyDescent="0.3">
      <c r="A43" s="116" t="s">
        <v>117</v>
      </c>
      <c r="B43" s="121" t="s">
        <v>314</v>
      </c>
      <c r="C43" s="128" t="s">
        <v>335</v>
      </c>
      <c r="D43" s="114">
        <v>2026</v>
      </c>
      <c r="E43" s="128">
        <v>93</v>
      </c>
      <c r="F43" s="244"/>
      <c r="G43" s="244"/>
      <c r="H43" s="247"/>
      <c r="I43" s="116" t="s">
        <v>594</v>
      </c>
      <c r="J43" s="121"/>
      <c r="K43" s="121"/>
      <c r="L43" s="121"/>
      <c r="M43" s="121"/>
      <c r="N43" s="121"/>
      <c r="O43" s="121"/>
      <c r="P43" s="121"/>
    </row>
    <row r="44" spans="1:16" ht="15" thickBot="1" x14ac:dyDescent="0.35">
      <c r="A44" s="116" t="s">
        <v>117</v>
      </c>
      <c r="B44" s="121" t="s">
        <v>314</v>
      </c>
      <c r="C44" s="128" t="s">
        <v>335</v>
      </c>
      <c r="D44" s="114">
        <v>2027</v>
      </c>
      <c r="E44" s="128">
        <v>93</v>
      </c>
      <c r="F44" s="244"/>
      <c r="G44" s="244"/>
      <c r="H44" s="247"/>
      <c r="I44" s="116" t="s">
        <v>578</v>
      </c>
      <c r="J44" s="121"/>
      <c r="K44" s="121"/>
      <c r="L44" s="121"/>
      <c r="M44" s="121"/>
      <c r="N44" s="121"/>
      <c r="O44" s="121"/>
      <c r="P44" s="121"/>
    </row>
    <row r="45" spans="1:16" ht="15" thickBot="1" x14ac:dyDescent="0.35">
      <c r="B45" s="121"/>
      <c r="C45" s="131"/>
      <c r="D45" s="132"/>
      <c r="E45" s="132"/>
    </row>
  </sheetData>
  <mergeCells count="30">
    <mergeCell ref="H2:H4"/>
    <mergeCell ref="H5:H7"/>
    <mergeCell ref="H8:H10"/>
    <mergeCell ref="G2:G10"/>
    <mergeCell ref="F2:F10"/>
    <mergeCell ref="H23:H25"/>
    <mergeCell ref="H26:H28"/>
    <mergeCell ref="G20:G28"/>
    <mergeCell ref="F20:F28"/>
    <mergeCell ref="H11:H13"/>
    <mergeCell ref="H14:H16"/>
    <mergeCell ref="H17:H19"/>
    <mergeCell ref="G11:G19"/>
    <mergeCell ref="F11:F19"/>
    <mergeCell ref="H20:H22"/>
    <mergeCell ref="H29:H30"/>
    <mergeCell ref="H31:H32"/>
    <mergeCell ref="G29:G32"/>
    <mergeCell ref="F29:F32"/>
    <mergeCell ref="F33:F36"/>
    <mergeCell ref="G33:G36"/>
    <mergeCell ref="H33:H34"/>
    <mergeCell ref="H35:H36"/>
    <mergeCell ref="H40:H41"/>
    <mergeCell ref="H38:H39"/>
    <mergeCell ref="G38:G41"/>
    <mergeCell ref="F38:F41"/>
    <mergeCell ref="F42:F44"/>
    <mergeCell ref="G42:G44"/>
    <mergeCell ref="H42:H4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included_studies</vt:lpstr>
      <vt:lpstr>disorder_overview</vt:lpstr>
      <vt:lpstr>cog_outcomes</vt:lpstr>
      <vt:lpstr>tACS MoCA</vt:lpstr>
      <vt:lpstr>tACS RAVLT</vt:lpstr>
      <vt:lpstr>tACS ADAS-Cog</vt:lpstr>
      <vt:lpstr>Study Table</vt:lpstr>
      <vt:lpstr>MoCA</vt:lpstr>
      <vt:lpstr>RAVLT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Thuy Tien Mai</dc:creator>
  <cp:keywords/>
  <dc:description/>
  <cp:lastModifiedBy>Melody Marie Lawas</cp:lastModifiedBy>
  <cp:revision/>
  <dcterms:created xsi:type="dcterms:W3CDTF">2025-05-14T08:44:39Z</dcterms:created>
  <dcterms:modified xsi:type="dcterms:W3CDTF">2026-03-05T22:21:52Z</dcterms:modified>
  <cp:category/>
  <cp:contentStatus/>
</cp:coreProperties>
</file>